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a3d7ff66d8489a56/Desktop/inal/"/>
    </mc:Choice>
  </mc:AlternateContent>
  <xr:revisionPtr revIDLastSave="1" documentId="8_{6AB532B2-F126-4E47-A998-892EEA8E32A1}" xr6:coauthVersionLast="47" xr6:coauthVersionMax="47" xr10:uidLastSave="{18D2A918-5B6C-4437-903C-77FE89E3C205}"/>
  <bookViews>
    <workbookView xWindow="-108" yWindow="-108" windowWidth="23256" windowHeight="12456" tabRatio="500" activeTab="2" xr2:uid="{00000000-000D-0000-FFFF-FFFF00000000}"/>
  </bookViews>
  <sheets>
    <sheet name="TATA FINANCE" sheetId="1" r:id="rId1"/>
    <sheet name="Year_Summary" sheetId="2" r:id="rId2"/>
    <sheet name="Country_Summary" sheetId="3" r:id="rId3"/>
    <sheet name="Descriptive_Sta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4" l="1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  <c r="H5" i="4"/>
  <c r="G5" i="4"/>
  <c r="F5" i="4"/>
  <c r="E5" i="4"/>
  <c r="D5" i="4"/>
  <c r="C5" i="4"/>
  <c r="D22" i="3"/>
  <c r="C22" i="3"/>
  <c r="B22" i="3"/>
  <c r="D21" i="3"/>
  <c r="C21" i="3"/>
  <c r="B21" i="3"/>
  <c r="D20" i="3"/>
  <c r="C20" i="3"/>
  <c r="E20" i="3" s="1"/>
  <c r="B20" i="3"/>
  <c r="D19" i="3"/>
  <c r="C19" i="3"/>
  <c r="B19" i="3"/>
  <c r="D18" i="3"/>
  <c r="C18" i="3"/>
  <c r="B18" i="3"/>
  <c r="E18" i="3" s="1"/>
  <c r="D17" i="3"/>
  <c r="C17" i="3"/>
  <c r="B17" i="3"/>
  <c r="D16" i="3"/>
  <c r="C16" i="3"/>
  <c r="B16" i="3"/>
  <c r="D11" i="3"/>
  <c r="E11" i="3" s="1"/>
  <c r="C11" i="3"/>
  <c r="B11" i="3"/>
  <c r="D10" i="3"/>
  <c r="E10" i="3" s="1"/>
  <c r="C10" i="3"/>
  <c r="B10" i="3"/>
  <c r="D9" i="3"/>
  <c r="E9" i="3" s="1"/>
  <c r="C9" i="3"/>
  <c r="B9" i="3"/>
  <c r="D8" i="3"/>
  <c r="E8" i="3" s="1"/>
  <c r="C8" i="3"/>
  <c r="B8" i="3"/>
  <c r="D7" i="3"/>
  <c r="E7" i="3" s="1"/>
  <c r="C7" i="3"/>
  <c r="B7" i="3"/>
  <c r="D6" i="3"/>
  <c r="E6" i="3" s="1"/>
  <c r="C6" i="3"/>
  <c r="B6" i="3"/>
  <c r="D5" i="3"/>
  <c r="E5" i="3" s="1"/>
  <c r="C5" i="3"/>
  <c r="C12" i="3" s="1"/>
  <c r="B5" i="3"/>
  <c r="B12" i="3" s="1"/>
  <c r="F12" i="2"/>
  <c r="E12" i="2"/>
  <c r="D12" i="2"/>
  <c r="F10" i="2"/>
  <c r="F19" i="2" s="1"/>
  <c r="E10" i="2"/>
  <c r="D10" i="2"/>
  <c r="F9" i="2"/>
  <c r="E9" i="2"/>
  <c r="E16" i="2" s="1"/>
  <c r="D9" i="2"/>
  <c r="F8" i="2"/>
  <c r="E8" i="2"/>
  <c r="D8" i="2"/>
  <c r="F7" i="2"/>
  <c r="E7" i="2"/>
  <c r="D7" i="2"/>
  <c r="F6" i="2"/>
  <c r="F17" i="2" s="1"/>
  <c r="E6" i="2"/>
  <c r="D6" i="2"/>
  <c r="F5" i="2"/>
  <c r="E5" i="2"/>
  <c r="G5" i="2" s="1"/>
  <c r="D5" i="2"/>
  <c r="E17" i="3" l="1"/>
  <c r="E22" i="3"/>
  <c r="C23" i="3"/>
  <c r="E19" i="3"/>
  <c r="D23" i="3"/>
  <c r="E16" i="3"/>
  <c r="E23" i="3" s="1"/>
  <c r="E21" i="3"/>
  <c r="F15" i="2"/>
  <c r="D13" i="2"/>
  <c r="F14" i="2"/>
  <c r="D16" i="2"/>
  <c r="D15" i="2"/>
  <c r="D14" i="2"/>
  <c r="F16" i="2"/>
  <c r="E14" i="2"/>
  <c r="E17" i="2"/>
  <c r="E13" i="2"/>
  <c r="F18" i="2"/>
  <c r="E15" i="2"/>
  <c r="F13" i="2"/>
  <c r="B23" i="3"/>
  <c r="D12" i="3"/>
  <c r="E12" i="3" s="1"/>
  <c r="E18" i="2"/>
  <c r="G6" i="2"/>
  <c r="G7" i="2"/>
  <c r="G14" i="2" s="1"/>
  <c r="G8" i="2"/>
  <c r="G9" i="2"/>
  <c r="G10" i="2"/>
  <c r="G13" i="2" s="1"/>
  <c r="E19" i="2"/>
  <c r="G16" i="2" l="1"/>
  <c r="G15" i="2"/>
</calcChain>
</file>

<file path=xl/sharedStrings.xml><?xml version="1.0" encoding="utf-8"?>
<sst xmlns="http://schemas.openxmlformats.org/spreadsheetml/2006/main" count="1137" uniqueCount="59">
  <si>
    <t>Finance ID</t>
  </si>
  <si>
    <t>Model ID</t>
  </si>
  <si>
    <t>Year</t>
  </si>
  <si>
    <t>Country</t>
  </si>
  <si>
    <t>Units Sold</t>
  </si>
  <si>
    <t>Total Revenue</t>
  </si>
  <si>
    <t>Profit</t>
  </si>
  <si>
    <t>Profit Margin (%)</t>
  </si>
  <si>
    <t>Tax Rate (%)</t>
  </si>
  <si>
    <t>Marketing Expense (USD)</t>
  </si>
  <si>
    <t>R&amp;D Expense (USD)</t>
  </si>
  <si>
    <t>Net Revenue (USD)</t>
  </si>
  <si>
    <t>Gross Margin (USD)</t>
  </si>
  <si>
    <t>Operating Expense (USD)</t>
  </si>
  <si>
    <t>EBITDA (USD)</t>
  </si>
  <si>
    <t>EBIT (USD)</t>
  </si>
  <si>
    <t>Interest Expense (USD)</t>
  </si>
  <si>
    <t>Tax Paid (USD)</t>
  </si>
  <si>
    <t>Net Profit (USD)</t>
  </si>
  <si>
    <t>Cash Flow (USD)</t>
  </si>
  <si>
    <t>Capital Expenditure (USD)</t>
  </si>
  <si>
    <t>Depreciation (USD)</t>
  </si>
  <si>
    <t>Amortization (USD)</t>
  </si>
  <si>
    <t>Dividend (USD)</t>
  </si>
  <si>
    <t>Shares Outstanding</t>
  </si>
  <si>
    <t>Australia</t>
  </si>
  <si>
    <t>France</t>
  </si>
  <si>
    <t>Germany</t>
  </si>
  <si>
    <t>India</t>
  </si>
  <si>
    <t>Japan</t>
  </si>
  <si>
    <t>UK</t>
  </si>
  <si>
    <t>USA</t>
  </si>
  <si>
    <t>Year-wise Summary (FY2022 - FY2024)</t>
  </si>
  <si>
    <t>Metric</t>
  </si>
  <si>
    <t>Total</t>
  </si>
  <si>
    <t>Ratios</t>
  </si>
  <si>
    <t>Overall</t>
  </si>
  <si>
    <t>Net Profit Margin (%)</t>
  </si>
  <si>
    <t>Gross Margin (%)</t>
  </si>
  <si>
    <t>EBITDA Margin (%)</t>
  </si>
  <si>
    <t>EBIT Margin (%)</t>
  </si>
  <si>
    <t>Net Revenue Growth (YoY %)</t>
  </si>
  <si>
    <t>n/a</t>
  </si>
  <si>
    <t>Units Sold Growth (YoY %)</t>
  </si>
  <si>
    <t>Net Profit Growth (YoY %)</t>
  </si>
  <si>
    <t>Country-wise Summary (FY2022 - FY2024 combined)</t>
  </si>
  <si>
    <t>Net Profit (USD) by Country and Year</t>
  </si>
  <si>
    <t>Descriptive Statistics (per record)</t>
  </si>
  <si>
    <t>Variable</t>
  </si>
  <si>
    <t>Count</t>
  </si>
  <si>
    <t>Mean</t>
  </si>
  <si>
    <t>Median</t>
  </si>
  <si>
    <t>Minimum</t>
  </si>
  <si>
    <t>Maximum</t>
  </si>
  <si>
    <t>Std. Deviation</t>
  </si>
  <si>
    <r>
      <t>Not</t>
    </r>
    <r>
      <rPr>
        <sz val="12"/>
        <rFont val="Times New Roman"/>
        <family val="1"/>
      </rPr>
      <t>e: Gross Margin, EBITDA and EBIT are close to Net Revenue in the source data, so their margins are near 100%. Net Profit Margin is the main profitability measure.</t>
    </r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</si>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</sst>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color rgb="FF1F3A5F"/>
      <name val="Arial"/>
      <charset val="1"/>
    </font>
    <font>
      <sz val="10"/>
      <name val="Arial"/>
      <charset val="1"/>
    </font>
    <font>
      <sz val="12"/>
      <color rgb="FF666666"/>
      <name val="Times New Roman"/>
      <family val="1"/>
    </font>
    <font>
      <sz val="12"/>
      <name val="Times New Roman"/>
      <family val="1"/>
    </font>
    <font>
      <b/>
      <sz val="12"/>
      <color rgb="FF1F3A5F"/>
      <name val="Times New Roman"/>
      <family val="1"/>
    </font>
    <font>
      <sz val="12"/>
      <color theme="1"/>
      <name val="Times New Roman"/>
      <family val="1"/>
    </font>
    <font>
      <i/>
      <sz val="12"/>
      <color rgb="FF666666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b/>
      <sz val="10"/>
      <color rgb="FF1F3A5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9E2EC"/>
      </patternFill>
    </fill>
    <fill>
      <patternFill patternType="solid">
        <fgColor rgb="FFF5F9FD"/>
        <bgColor rgb="FFE8F4EA"/>
      </patternFill>
    </fill>
    <fill>
      <patternFill patternType="solid">
        <fgColor theme="0"/>
        <bgColor rgb="FFD9E2EC"/>
      </patternFill>
    </fill>
    <fill>
      <patternFill patternType="solid">
        <fgColor theme="0"/>
        <bgColor rgb="FFE8F4E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F0D9"/>
      </patternFill>
    </fill>
  </fills>
  <borders count="1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/>
    </xf>
    <xf numFmtId="3" fontId="8" fillId="3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10" fontId="8" fillId="3" borderId="1" xfId="0" applyNumberFormat="1" applyFont="1" applyFill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/>
    </xf>
    <xf numFmtId="3" fontId="8" fillId="5" borderId="1" xfId="0" applyNumberFormat="1" applyFont="1" applyFill="1" applyBorder="1" applyAlignment="1">
      <alignment horizontal="right"/>
    </xf>
    <xf numFmtId="10" fontId="8" fillId="5" borderId="4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left"/>
    </xf>
    <xf numFmtId="3" fontId="8" fillId="6" borderId="1" xfId="0" applyNumberFormat="1" applyFont="1" applyFill="1" applyBorder="1" applyAlignment="1">
      <alignment horizontal="right"/>
    </xf>
    <xf numFmtId="10" fontId="8" fillId="6" borderId="4" xfId="0" applyNumberFormat="1" applyFont="1" applyFill="1" applyBorder="1" applyAlignment="1">
      <alignment horizontal="right"/>
    </xf>
    <xf numFmtId="0" fontId="10" fillId="7" borderId="8" xfId="0" applyFont="1" applyFill="1" applyBorder="1" applyAlignment="1">
      <alignment horizontal="left"/>
    </xf>
    <xf numFmtId="3" fontId="10" fillId="7" borderId="9" xfId="0" applyNumberFormat="1" applyFont="1" applyFill="1" applyBorder="1" applyAlignment="1">
      <alignment horizontal="right"/>
    </xf>
    <xf numFmtId="10" fontId="10" fillId="7" borderId="10" xfId="0" applyNumberFormat="1" applyFont="1" applyFill="1" applyBorder="1" applyAlignment="1">
      <alignment horizontal="right"/>
    </xf>
    <xf numFmtId="3" fontId="8" fillId="6" borderId="4" xfId="0" applyNumberFormat="1" applyFont="1" applyFill="1" applyBorder="1" applyAlignment="1">
      <alignment horizontal="right"/>
    </xf>
    <xf numFmtId="3" fontId="8" fillId="5" borderId="4" xfId="0" applyNumberFormat="1" applyFont="1" applyFill="1" applyBorder="1" applyAlignment="1">
      <alignment horizontal="right"/>
    </xf>
    <xf numFmtId="1" fontId="5" fillId="4" borderId="6" xfId="0" applyNumberFormat="1" applyFont="1" applyFill="1" applyBorder="1" applyAlignment="1">
      <alignment horizontal="center" vertical="center" wrapText="1"/>
    </xf>
    <xf numFmtId="3" fontId="10" fillId="7" borderId="10" xfId="0" applyNumberFormat="1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 vertical="center" wrapText="1"/>
    </xf>
    <xf numFmtId="0" fontId="6" fillId="6" borderId="11" xfId="0" applyFont="1" applyFill="1" applyBorder="1"/>
    <xf numFmtId="0" fontId="8" fillId="5" borderId="11" xfId="0" applyFont="1" applyFill="1" applyBorder="1" applyAlignment="1">
      <alignment horizontal="left"/>
    </xf>
    <xf numFmtId="3" fontId="8" fillId="5" borderId="11" xfId="0" applyNumberFormat="1" applyFont="1" applyFill="1" applyBorder="1" applyAlignment="1">
      <alignment horizontal="right"/>
    </xf>
    <xf numFmtId="0" fontId="8" fillId="6" borderId="11" xfId="0" applyFont="1" applyFill="1" applyBorder="1" applyAlignment="1">
      <alignment horizontal="left"/>
    </xf>
    <xf numFmtId="3" fontId="8" fillId="6" borderId="11" xfId="0" applyNumberFormat="1" applyFont="1" applyFill="1" applyBorder="1" applyAlignment="1">
      <alignment horizontal="right"/>
    </xf>
    <xf numFmtId="2" fontId="8" fillId="6" borderId="1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A5F"/>
        <name val="Times New Roman"/>
        <family val="1"/>
        <scheme val="none"/>
      </font>
      <numFmt numFmtId="1" formatCode="0"/>
      <fill>
        <patternFill patternType="solid">
          <fgColor rgb="FFD9E2EC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border outline="0">
        <top style="thin">
          <color rgb="FFD9E2EC"/>
        </top>
      </border>
    </dxf>
    <dxf>
      <border outline="0">
        <bottom style="thin">
          <color rgb="FFD9E2EC"/>
        </bottom>
      </border>
    </dxf>
    <dxf>
      <border outline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</border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A5F"/>
        <name val="Times New Roman"/>
        <family val="1"/>
        <scheme val="none"/>
      </font>
      <fill>
        <patternFill patternType="solid">
          <fgColor rgb="FFD9E2EC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top style="thin">
          <color rgb="FFD9E2EC"/>
        </top>
      </border>
    </dxf>
    <dxf>
      <border outline="0">
        <bottom style="thin">
          <color rgb="FFD9E2EC"/>
        </bottom>
      </border>
    </dxf>
    <dxf>
      <border outline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</border>
    </dxf>
  </dxfs>
  <tableStyles count="0" defaultTableStyle="TableStyleMedium2" defaultPivotStyle="PivotStyleLight16"/>
  <colors>
    <indexedColors>
      <rgbColor rgb="FF000000"/>
      <rgbColor rgb="FFF5F9F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E8F4EA"/>
      <rgbColor rgb="FFDDEBF7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taFinance" displayName="TataFinance" ref="A1:Y1051" totalsRowShown="0">
  <autoFilter ref="A1:Y1051" xr:uid="{00000000-0009-0000-0100-000001000000}"/>
  <tableColumns count="25">
    <tableColumn id="1" xr3:uid="{00000000-0010-0000-0000-000001000000}" name="Finance ID"/>
    <tableColumn id="2" xr3:uid="{00000000-0010-0000-0000-000002000000}" name="Model ID"/>
    <tableColumn id="3" xr3:uid="{00000000-0010-0000-0000-000003000000}" name="Year"/>
    <tableColumn id="4" xr3:uid="{00000000-0010-0000-0000-000004000000}" name="Country"/>
    <tableColumn id="5" xr3:uid="{00000000-0010-0000-0000-000005000000}" name="Units Sold"/>
    <tableColumn id="6" xr3:uid="{00000000-0010-0000-0000-000006000000}" name="Total Revenue"/>
    <tableColumn id="7" xr3:uid="{00000000-0010-0000-0000-000007000000}" name="Profit"/>
    <tableColumn id="8" xr3:uid="{00000000-0010-0000-0000-000008000000}" name="Profit Margin (%)"/>
    <tableColumn id="9" xr3:uid="{00000000-0010-0000-0000-000009000000}" name="Tax Rate (%)"/>
    <tableColumn id="10" xr3:uid="{00000000-0010-0000-0000-00000A000000}" name="Marketing Expense (USD)"/>
    <tableColumn id="11" xr3:uid="{00000000-0010-0000-0000-00000B000000}" name="R&amp;D Expense (USD)"/>
    <tableColumn id="12" xr3:uid="{00000000-0010-0000-0000-00000C000000}" name="Net Revenue (USD)"/>
    <tableColumn id="13" xr3:uid="{00000000-0010-0000-0000-00000D000000}" name="Gross Margin (USD)"/>
    <tableColumn id="14" xr3:uid="{00000000-0010-0000-0000-00000E000000}" name="Operating Expense (USD)"/>
    <tableColumn id="15" xr3:uid="{00000000-0010-0000-0000-00000F000000}" name="EBITDA (USD)"/>
    <tableColumn id="16" xr3:uid="{00000000-0010-0000-0000-000010000000}" name="EBIT (USD)"/>
    <tableColumn id="17" xr3:uid="{00000000-0010-0000-0000-000011000000}" name="Interest Expense (USD)"/>
    <tableColumn id="18" xr3:uid="{00000000-0010-0000-0000-000012000000}" name="Tax Paid (USD)"/>
    <tableColumn id="19" xr3:uid="{00000000-0010-0000-0000-000013000000}" name="Net Profit (USD)"/>
    <tableColumn id="20" xr3:uid="{00000000-0010-0000-0000-000014000000}" name="Cash Flow (USD)"/>
    <tableColumn id="21" xr3:uid="{00000000-0010-0000-0000-000015000000}" name="Capital Expenditure (USD)"/>
    <tableColumn id="22" xr3:uid="{00000000-0010-0000-0000-000016000000}" name="Depreciation (USD)"/>
    <tableColumn id="23" xr3:uid="{00000000-0010-0000-0000-000017000000}" name="Amortization (USD)"/>
    <tableColumn id="24" xr3:uid="{00000000-0010-0000-0000-000018000000}" name="Dividend (USD)"/>
    <tableColumn id="25" xr3:uid="{00000000-0010-0000-0000-000019000000}" name="Shares Outstanding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CCCE6-6EF8-47DA-BD88-29E48C233758}" name="Table2" displayName="Table2" ref="A4:E12" totalsRowShown="0" headerRowDxfId="11" dataDxfId="10" headerRowBorderDxfId="18" tableBorderDxfId="19" totalsRowBorderDxfId="17">
  <autoFilter ref="A4:E12" xr:uid="{6BBCCCE6-6EF8-47DA-BD88-29E48C23375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8DB6D43-3D4E-4FB8-B747-67E4264B1DA7}" name="Country" dataDxfId="16"/>
    <tableColumn id="2" xr3:uid="{0D8B5CB1-BD67-4232-8FEE-916789ED2846}" name="Units Sold" dataDxfId="15"/>
    <tableColumn id="3" xr3:uid="{895E87DA-B990-4551-95C7-98E5B6562740}" name="Net Revenue (USD)" dataDxfId="14"/>
    <tableColumn id="4" xr3:uid="{7501C767-5407-4133-8466-60705CE61D19}" name="Net Profit (USD)" dataDxfId="13"/>
    <tableColumn id="5" xr3:uid="{40E2A01A-1B73-4C11-A069-9BA2A658F582}" name="Net Profit Margin (%)" dataDxfId="12">
      <calculatedColumnFormula>IFERROR(D5/C5,0)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3F3DF-F909-476B-83E5-2C6EF4265718}" name="Table3" displayName="Table3" ref="A15:E23" totalsRowShown="0" headerRowDxfId="6" headerRowBorderDxfId="8" tableBorderDxfId="9" totalsRowBorderDxfId="7">
  <autoFilter ref="A15:E23" xr:uid="{9153F3DF-F909-476B-83E5-2C6EF4265718}"/>
  <tableColumns count="5">
    <tableColumn id="1" xr3:uid="{93357757-50EE-4CF5-8CD8-29F30ADFF7B6}" name="Country"/>
    <tableColumn id="2" xr3:uid="{A34EEDAE-C9EA-4AF1-98F5-0EEBAA4ADD97}" name="2022"/>
    <tableColumn id="3" xr3:uid="{5D991A67-FF8B-45CE-BF9D-10DDFB3490CF}" name="2023"/>
    <tableColumn id="4" xr3:uid="{728F7936-163A-4E6A-A7A9-94CF255E2C7D}" name="2024"/>
    <tableColumn id="5" xr3:uid="{8873D387-CFFB-4D8D-BC2D-041C9887A418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1"/>
  <sheetViews>
    <sheetView showGridLines="0" zoomScaleNormal="100" workbookViewId="0">
      <pane xSplit="4" ySplit="1" topLeftCell="R1028" activePane="bottomRight" state="frozen"/>
      <selection pane="topRight" activeCell="E1" sqref="E1"/>
      <selection pane="bottomLeft" activeCell="A2" sqref="A2"/>
      <selection pane="bottomRight" activeCell="W1034" sqref="A2:Y1051"/>
    </sheetView>
  </sheetViews>
  <sheetFormatPr defaultColWidth="8.6640625" defaultRowHeight="14.4" x14ac:dyDescent="0.3"/>
  <cols>
    <col min="1" max="4" width="11" customWidth="1"/>
    <col min="5" max="5" width="15" customWidth="1"/>
    <col min="6" max="7" width="19" customWidth="1"/>
    <col min="8" max="9" width="13" customWidth="1"/>
    <col min="10" max="24" width="19" customWidth="1"/>
    <col min="25" max="25" width="15" customWidth="1"/>
  </cols>
  <sheetData>
    <row r="1" spans="1:25" ht="33.75" customHeight="1" x14ac:dyDescent="0.3">
      <c r="A1" s="5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6.05" customHeight="1" x14ac:dyDescent="0.3">
      <c r="A2" s="2">
        <v>58</v>
      </c>
      <c r="B2" s="2">
        <v>1</v>
      </c>
      <c r="C2" s="2">
        <v>2022</v>
      </c>
      <c r="D2" s="3" t="s">
        <v>25</v>
      </c>
      <c r="E2" s="4">
        <v>4430</v>
      </c>
      <c r="F2" s="5">
        <v>43311494.780000001</v>
      </c>
      <c r="G2" s="5">
        <v>5167061.33</v>
      </c>
      <c r="H2" s="6">
        <v>11.93</v>
      </c>
      <c r="I2" s="6">
        <v>17.350000000000001</v>
      </c>
      <c r="J2" s="5">
        <v>14019.41</v>
      </c>
      <c r="K2" s="5">
        <v>18714.169999999998</v>
      </c>
      <c r="L2" s="5">
        <v>43238957.600000001</v>
      </c>
      <c r="M2" s="5">
        <v>43285763.890000001</v>
      </c>
      <c r="N2" s="5">
        <v>72537.179999999993</v>
      </c>
      <c r="O2" s="5">
        <v>43242817.619999997</v>
      </c>
      <c r="P2" s="5">
        <v>43238632.979999997</v>
      </c>
      <c r="Q2" s="5">
        <v>4184.6400000000003</v>
      </c>
      <c r="R2" s="5">
        <v>7514544.3399999999</v>
      </c>
      <c r="S2" s="5">
        <v>-2347483.02</v>
      </c>
      <c r="T2" s="5">
        <v>75445.59</v>
      </c>
      <c r="U2" s="5">
        <v>34195.06</v>
      </c>
      <c r="V2" s="5">
        <v>3199.66</v>
      </c>
      <c r="W2" s="5">
        <v>660.36</v>
      </c>
      <c r="X2" s="5">
        <v>3968.45</v>
      </c>
      <c r="Y2" s="4">
        <v>3128897</v>
      </c>
    </row>
    <row r="3" spans="1:25" ht="16.05" customHeight="1" x14ac:dyDescent="0.3">
      <c r="A3" s="7">
        <v>128</v>
      </c>
      <c r="B3" s="7">
        <v>2</v>
      </c>
      <c r="C3" s="7">
        <v>2022</v>
      </c>
      <c r="D3" s="8" t="s">
        <v>25</v>
      </c>
      <c r="E3" s="9">
        <v>2223</v>
      </c>
      <c r="F3" s="10">
        <v>47693923.810000002</v>
      </c>
      <c r="G3" s="10">
        <v>11079298.5</v>
      </c>
      <c r="H3" s="11">
        <v>23.23</v>
      </c>
      <c r="I3" s="11">
        <v>15.76</v>
      </c>
      <c r="J3" s="10">
        <v>8007.36</v>
      </c>
      <c r="K3" s="10">
        <v>10914.76</v>
      </c>
      <c r="L3" s="10">
        <v>47617421.880000003</v>
      </c>
      <c r="M3" s="10">
        <v>47684894.450000003</v>
      </c>
      <c r="N3" s="10">
        <v>76501.929999999993</v>
      </c>
      <c r="O3" s="10">
        <v>47621255.640000001</v>
      </c>
      <c r="P3" s="10">
        <v>47612057.289999999</v>
      </c>
      <c r="Q3" s="10">
        <v>9198.35</v>
      </c>
      <c r="R3" s="10">
        <v>7516562.3899999997</v>
      </c>
      <c r="S3" s="10">
        <v>3562736.11</v>
      </c>
      <c r="T3" s="10">
        <v>47567.91</v>
      </c>
      <c r="U3" s="10">
        <v>33904.03</v>
      </c>
      <c r="V3" s="10">
        <v>3090.5</v>
      </c>
      <c r="W3" s="10">
        <v>743.26</v>
      </c>
      <c r="X3" s="10">
        <v>2479.17</v>
      </c>
      <c r="Y3" s="9">
        <v>2923574</v>
      </c>
    </row>
    <row r="4" spans="1:25" ht="16.05" customHeight="1" x14ac:dyDescent="0.3">
      <c r="A4" s="2">
        <v>198</v>
      </c>
      <c r="B4" s="2">
        <v>3</v>
      </c>
      <c r="C4" s="2">
        <v>2022</v>
      </c>
      <c r="D4" s="3" t="s">
        <v>25</v>
      </c>
      <c r="E4" s="4">
        <v>4609</v>
      </c>
      <c r="F4" s="5">
        <v>118061589.7</v>
      </c>
      <c r="G4" s="5">
        <v>24214432.039999999</v>
      </c>
      <c r="H4" s="6">
        <v>20.51</v>
      </c>
      <c r="I4" s="6">
        <v>7.2</v>
      </c>
      <c r="J4" s="5">
        <v>11890.05</v>
      </c>
      <c r="K4" s="5">
        <v>2882.93</v>
      </c>
      <c r="L4" s="5">
        <v>118010673.09999999</v>
      </c>
      <c r="M4" s="5">
        <v>118051650.2</v>
      </c>
      <c r="N4" s="5">
        <v>50916.6</v>
      </c>
      <c r="O4" s="5">
        <v>118024932.40000001</v>
      </c>
      <c r="P4" s="5">
        <v>118021844.3</v>
      </c>
      <c r="Q4" s="5">
        <v>3088.14</v>
      </c>
      <c r="R4" s="5">
        <v>8500434.4600000009</v>
      </c>
      <c r="S4" s="5">
        <v>15713997.58</v>
      </c>
      <c r="T4" s="5">
        <v>59022.66</v>
      </c>
      <c r="U4" s="5">
        <v>43541.15</v>
      </c>
      <c r="V4" s="5">
        <v>8239.4500000000007</v>
      </c>
      <c r="W4" s="5">
        <v>6019.91</v>
      </c>
      <c r="X4" s="5">
        <v>3712.6</v>
      </c>
      <c r="Y4" s="4">
        <v>3660463</v>
      </c>
    </row>
    <row r="5" spans="1:25" ht="16.05" customHeight="1" x14ac:dyDescent="0.3">
      <c r="A5" s="7">
        <v>268</v>
      </c>
      <c r="B5" s="7">
        <v>4</v>
      </c>
      <c r="C5" s="7">
        <v>2022</v>
      </c>
      <c r="D5" s="8" t="s">
        <v>25</v>
      </c>
      <c r="E5" s="9">
        <v>4805</v>
      </c>
      <c r="F5" s="10">
        <v>184159332.19999999</v>
      </c>
      <c r="G5" s="10">
        <v>16997906.359999999</v>
      </c>
      <c r="H5" s="11">
        <v>9.23</v>
      </c>
      <c r="I5" s="11">
        <v>10.47</v>
      </c>
      <c r="J5" s="10">
        <v>7883.27</v>
      </c>
      <c r="K5" s="10">
        <v>18706.32</v>
      </c>
      <c r="L5" s="10">
        <v>184107230.80000001</v>
      </c>
      <c r="M5" s="10">
        <v>184134829.5</v>
      </c>
      <c r="N5" s="10">
        <v>52101.38</v>
      </c>
      <c r="O5" s="10">
        <v>184114931.80000001</v>
      </c>
      <c r="P5" s="10">
        <v>184107123.90000001</v>
      </c>
      <c r="Q5" s="10">
        <v>7807.86</v>
      </c>
      <c r="R5" s="10">
        <v>19281482.079999998</v>
      </c>
      <c r="S5" s="10">
        <v>-2283575.7200000002</v>
      </c>
      <c r="T5" s="10">
        <v>42862.86</v>
      </c>
      <c r="U5" s="10">
        <v>21925.53</v>
      </c>
      <c r="V5" s="10">
        <v>2950.2</v>
      </c>
      <c r="W5" s="10">
        <v>4750.74</v>
      </c>
      <c r="X5" s="10">
        <v>2684.35</v>
      </c>
      <c r="Y5" s="9">
        <v>1717702</v>
      </c>
    </row>
    <row r="6" spans="1:25" ht="16.05" customHeight="1" x14ac:dyDescent="0.3">
      <c r="A6" s="2">
        <v>338</v>
      </c>
      <c r="B6" s="2">
        <v>5</v>
      </c>
      <c r="C6" s="2">
        <v>2022</v>
      </c>
      <c r="D6" s="3" t="s">
        <v>25</v>
      </c>
      <c r="E6" s="4">
        <v>3311</v>
      </c>
      <c r="F6" s="5">
        <v>138858556.59999999</v>
      </c>
      <c r="G6" s="5">
        <v>41227105.450000003</v>
      </c>
      <c r="H6" s="6">
        <v>29.69</v>
      </c>
      <c r="I6" s="6">
        <v>18.149999999999999</v>
      </c>
      <c r="J6" s="5">
        <v>1740.73</v>
      </c>
      <c r="K6" s="5">
        <v>10430.120000000001</v>
      </c>
      <c r="L6" s="5">
        <v>138819081</v>
      </c>
      <c r="M6" s="5">
        <v>138843400.09999999</v>
      </c>
      <c r="N6" s="5">
        <v>39475.61</v>
      </c>
      <c r="O6" s="5">
        <v>138835055.69999999</v>
      </c>
      <c r="P6" s="5">
        <v>138823243.90000001</v>
      </c>
      <c r="Q6" s="5">
        <v>11811.75</v>
      </c>
      <c r="R6" s="5">
        <v>25202828.02</v>
      </c>
      <c r="S6" s="5">
        <v>16024277.43</v>
      </c>
      <c r="T6" s="5">
        <v>73537.899999999994</v>
      </c>
      <c r="U6" s="5">
        <v>32538.36</v>
      </c>
      <c r="V6" s="5">
        <v>11630.58</v>
      </c>
      <c r="W6" s="5">
        <v>4344.1400000000003</v>
      </c>
      <c r="X6" s="5">
        <v>3855.66</v>
      </c>
      <c r="Y6" s="4">
        <v>2331397</v>
      </c>
    </row>
    <row r="7" spans="1:25" ht="16.05" customHeight="1" x14ac:dyDescent="0.3">
      <c r="A7" s="7">
        <v>408</v>
      </c>
      <c r="B7" s="7">
        <v>6</v>
      </c>
      <c r="C7" s="7">
        <v>2022</v>
      </c>
      <c r="D7" s="8" t="s">
        <v>25</v>
      </c>
      <c r="E7" s="9">
        <v>1362</v>
      </c>
      <c r="F7" s="10">
        <v>33027065.859999999</v>
      </c>
      <c r="G7" s="10">
        <v>3438117.56</v>
      </c>
      <c r="H7" s="11">
        <v>10.41</v>
      </c>
      <c r="I7" s="11">
        <v>15.22</v>
      </c>
      <c r="J7" s="10">
        <v>11900.93</v>
      </c>
      <c r="K7" s="10">
        <v>15760.63</v>
      </c>
      <c r="L7" s="10">
        <v>32991580.600000001</v>
      </c>
      <c r="M7" s="10">
        <v>33022491.949999999</v>
      </c>
      <c r="N7" s="10">
        <v>35485.26</v>
      </c>
      <c r="O7" s="10">
        <v>32997346.43</v>
      </c>
      <c r="P7" s="10">
        <v>32983065.989999998</v>
      </c>
      <c r="Q7" s="10">
        <v>14280.44</v>
      </c>
      <c r="R7" s="10">
        <v>5026719.42</v>
      </c>
      <c r="S7" s="10">
        <v>-1588601.87</v>
      </c>
      <c r="T7" s="10">
        <v>74662.149999999994</v>
      </c>
      <c r="U7" s="10">
        <v>48081.47</v>
      </c>
      <c r="V7" s="10">
        <v>2158.75</v>
      </c>
      <c r="W7" s="10">
        <v>3607.08</v>
      </c>
      <c r="X7" s="10">
        <v>2858.94</v>
      </c>
      <c r="Y7" s="9">
        <v>1014435</v>
      </c>
    </row>
    <row r="8" spans="1:25" ht="16.05" customHeight="1" x14ac:dyDescent="0.3">
      <c r="A8" s="2">
        <v>478</v>
      </c>
      <c r="B8" s="2">
        <v>7</v>
      </c>
      <c r="C8" s="2">
        <v>2022</v>
      </c>
      <c r="D8" s="3" t="s">
        <v>25</v>
      </c>
      <c r="E8" s="4">
        <v>4086</v>
      </c>
      <c r="F8" s="5">
        <v>201017840.80000001</v>
      </c>
      <c r="G8" s="5">
        <v>20905855.440000001</v>
      </c>
      <c r="H8" s="6">
        <v>10.4</v>
      </c>
      <c r="I8" s="6">
        <v>14.36</v>
      </c>
      <c r="J8" s="5">
        <v>2189.8000000000002</v>
      </c>
      <c r="K8" s="5">
        <v>18752.259999999998</v>
      </c>
      <c r="L8" s="5">
        <v>200986179.09999999</v>
      </c>
      <c r="M8" s="5">
        <v>201000796</v>
      </c>
      <c r="N8" s="5">
        <v>31661.71</v>
      </c>
      <c r="O8" s="5">
        <v>200994317.40000001</v>
      </c>
      <c r="P8" s="5">
        <v>200991331.09999999</v>
      </c>
      <c r="Q8" s="5">
        <v>2986.35</v>
      </c>
      <c r="R8" s="5">
        <v>28866161.940000001</v>
      </c>
      <c r="S8" s="5">
        <v>-7960306.5</v>
      </c>
      <c r="T8" s="5">
        <v>41704.050000000003</v>
      </c>
      <c r="U8" s="5">
        <v>6131.71</v>
      </c>
      <c r="V8" s="5">
        <v>7432.8</v>
      </c>
      <c r="W8" s="5">
        <v>705.57</v>
      </c>
      <c r="X8" s="5">
        <v>1579.05</v>
      </c>
      <c r="Y8" s="4">
        <v>1167094</v>
      </c>
    </row>
    <row r="9" spans="1:25" ht="16.05" customHeight="1" x14ac:dyDescent="0.3">
      <c r="A9" s="7">
        <v>548</v>
      </c>
      <c r="B9" s="7">
        <v>8</v>
      </c>
      <c r="C9" s="7">
        <v>2022</v>
      </c>
      <c r="D9" s="8" t="s">
        <v>25</v>
      </c>
      <c r="E9" s="9">
        <v>6543</v>
      </c>
      <c r="F9" s="10">
        <v>181435128.19999999</v>
      </c>
      <c r="G9" s="10">
        <v>40822903.840000004</v>
      </c>
      <c r="H9" s="11">
        <v>22.5</v>
      </c>
      <c r="I9" s="11">
        <v>7.52</v>
      </c>
      <c r="J9" s="10">
        <v>6758.69</v>
      </c>
      <c r="K9" s="10">
        <v>5938.98</v>
      </c>
      <c r="L9" s="10">
        <v>181414889.09999999</v>
      </c>
      <c r="M9" s="10">
        <v>181428728</v>
      </c>
      <c r="N9" s="10">
        <v>20239.05</v>
      </c>
      <c r="O9" s="10">
        <v>181423481</v>
      </c>
      <c r="P9" s="10">
        <v>181414413.30000001</v>
      </c>
      <c r="Q9" s="10">
        <v>9067.73</v>
      </c>
      <c r="R9" s="10">
        <v>13643921.640000001</v>
      </c>
      <c r="S9" s="10">
        <v>27178982.199999999</v>
      </c>
      <c r="T9" s="10">
        <v>23081.78</v>
      </c>
      <c r="U9" s="10">
        <v>6266.26</v>
      </c>
      <c r="V9" s="10">
        <v>6905.82</v>
      </c>
      <c r="W9" s="10">
        <v>1686.05</v>
      </c>
      <c r="X9" s="10">
        <v>1993.73</v>
      </c>
      <c r="Y9" s="9">
        <v>3777026</v>
      </c>
    </row>
    <row r="10" spans="1:25" ht="16.05" customHeight="1" x14ac:dyDescent="0.3">
      <c r="A10" s="2">
        <v>618</v>
      </c>
      <c r="B10" s="2">
        <v>9</v>
      </c>
      <c r="C10" s="2">
        <v>2022</v>
      </c>
      <c r="D10" s="3" t="s">
        <v>25</v>
      </c>
      <c r="E10" s="4">
        <v>4018</v>
      </c>
      <c r="F10" s="5">
        <v>209906684.90000001</v>
      </c>
      <c r="G10" s="5">
        <v>48320518.859999999</v>
      </c>
      <c r="H10" s="6">
        <v>23.02</v>
      </c>
      <c r="I10" s="6">
        <v>14.48</v>
      </c>
      <c r="J10" s="5">
        <v>8893.67</v>
      </c>
      <c r="K10" s="5">
        <v>16223.11</v>
      </c>
      <c r="L10" s="5">
        <v>209869558.59999999</v>
      </c>
      <c r="M10" s="5">
        <v>209897466.5</v>
      </c>
      <c r="N10" s="5">
        <v>37126.239999999998</v>
      </c>
      <c r="O10" s="5">
        <v>209879494.09999999</v>
      </c>
      <c r="P10" s="5">
        <v>209872091.69999999</v>
      </c>
      <c r="Q10" s="5">
        <v>7402.41</v>
      </c>
      <c r="R10" s="5">
        <v>30394487.969999999</v>
      </c>
      <c r="S10" s="5">
        <v>17926030.890000001</v>
      </c>
      <c r="T10" s="5">
        <v>71637.08</v>
      </c>
      <c r="U10" s="5">
        <v>19986.939999999999</v>
      </c>
      <c r="V10" s="5">
        <v>9229.94</v>
      </c>
      <c r="W10" s="5">
        <v>705.54</v>
      </c>
      <c r="X10" s="5">
        <v>1687.53</v>
      </c>
      <c r="Y10" s="4">
        <v>2607803</v>
      </c>
    </row>
    <row r="11" spans="1:25" ht="16.05" customHeight="1" x14ac:dyDescent="0.3">
      <c r="A11" s="7">
        <v>688</v>
      </c>
      <c r="B11" s="7">
        <v>10</v>
      </c>
      <c r="C11" s="7">
        <v>2022</v>
      </c>
      <c r="D11" s="8" t="s">
        <v>25</v>
      </c>
      <c r="E11" s="9">
        <v>2795</v>
      </c>
      <c r="F11" s="10">
        <v>107474517.40000001</v>
      </c>
      <c r="G11" s="10">
        <v>10167089.34</v>
      </c>
      <c r="H11" s="11">
        <v>9.4600000000000009</v>
      </c>
      <c r="I11" s="11">
        <v>9.33</v>
      </c>
      <c r="J11" s="10">
        <v>1096.6400000000001</v>
      </c>
      <c r="K11" s="10">
        <v>4672.6899999999996</v>
      </c>
      <c r="L11" s="10">
        <v>107439955.3</v>
      </c>
      <c r="M11" s="10">
        <v>107450156</v>
      </c>
      <c r="N11" s="10">
        <v>34562.06</v>
      </c>
      <c r="O11" s="10">
        <v>107451710.59999999</v>
      </c>
      <c r="P11" s="10">
        <v>107448589.3</v>
      </c>
      <c r="Q11" s="10">
        <v>3121.33</v>
      </c>
      <c r="R11" s="10">
        <v>10027372.470000001</v>
      </c>
      <c r="S11" s="10">
        <v>139716.87</v>
      </c>
      <c r="T11" s="10">
        <v>92118.41</v>
      </c>
      <c r="U11" s="10">
        <v>49861.87</v>
      </c>
      <c r="V11" s="10">
        <v>4471.3500000000004</v>
      </c>
      <c r="W11" s="10">
        <v>7283.99</v>
      </c>
      <c r="X11" s="10">
        <v>1799.98</v>
      </c>
      <c r="Y11" s="9">
        <v>1704710</v>
      </c>
    </row>
    <row r="12" spans="1:25" ht="16.05" customHeight="1" x14ac:dyDescent="0.3">
      <c r="A12" s="2">
        <v>758</v>
      </c>
      <c r="B12" s="2">
        <v>11</v>
      </c>
      <c r="C12" s="2">
        <v>2022</v>
      </c>
      <c r="D12" s="3" t="s">
        <v>25</v>
      </c>
      <c r="E12" s="4">
        <v>3824</v>
      </c>
      <c r="F12" s="5">
        <v>54957005.869999997</v>
      </c>
      <c r="G12" s="5">
        <v>5803459.8200000003</v>
      </c>
      <c r="H12" s="6">
        <v>10.56</v>
      </c>
      <c r="I12" s="6">
        <v>18.04</v>
      </c>
      <c r="J12" s="5">
        <v>3863.67</v>
      </c>
      <c r="K12" s="5">
        <v>5005.3999999999996</v>
      </c>
      <c r="L12" s="5">
        <v>54907173.759999998</v>
      </c>
      <c r="M12" s="5">
        <v>54946929.609999999</v>
      </c>
      <c r="N12" s="5">
        <v>49832.11</v>
      </c>
      <c r="O12" s="5">
        <v>54916508.140000001</v>
      </c>
      <c r="P12" s="5">
        <v>54913978.640000001</v>
      </c>
      <c r="Q12" s="5">
        <v>2529.5</v>
      </c>
      <c r="R12" s="5">
        <v>9914243.8599999994</v>
      </c>
      <c r="S12" s="5">
        <v>-4110784.04</v>
      </c>
      <c r="T12" s="5">
        <v>49899.15</v>
      </c>
      <c r="U12" s="5">
        <v>8801.94</v>
      </c>
      <c r="V12" s="5">
        <v>7879.87</v>
      </c>
      <c r="W12" s="5">
        <v>1454.51</v>
      </c>
      <c r="X12" s="5">
        <v>4632.28</v>
      </c>
      <c r="Y12" s="4">
        <v>3696765</v>
      </c>
    </row>
    <row r="13" spans="1:25" ht="16.05" customHeight="1" x14ac:dyDescent="0.3">
      <c r="A13" s="7">
        <v>828</v>
      </c>
      <c r="B13" s="7">
        <v>12</v>
      </c>
      <c r="C13" s="7">
        <v>2022</v>
      </c>
      <c r="D13" s="8" t="s">
        <v>25</v>
      </c>
      <c r="E13" s="9">
        <v>3475</v>
      </c>
      <c r="F13" s="10">
        <v>102764191.09999999</v>
      </c>
      <c r="G13" s="10">
        <v>25444413.710000001</v>
      </c>
      <c r="H13" s="11">
        <v>24.76</v>
      </c>
      <c r="I13" s="11">
        <v>9.5299999999999994</v>
      </c>
      <c r="J13" s="10">
        <v>5199.16</v>
      </c>
      <c r="K13" s="10">
        <v>19670.82</v>
      </c>
      <c r="L13" s="10">
        <v>102712391.40000001</v>
      </c>
      <c r="M13" s="10">
        <v>102739270.5</v>
      </c>
      <c r="N13" s="10">
        <v>51799.69</v>
      </c>
      <c r="O13" s="10">
        <v>102719292.5</v>
      </c>
      <c r="P13" s="10">
        <v>102714975.2</v>
      </c>
      <c r="Q13" s="10">
        <v>4317.37</v>
      </c>
      <c r="R13" s="10">
        <v>9793427.4100000001</v>
      </c>
      <c r="S13" s="10">
        <v>15650986.300000001</v>
      </c>
      <c r="T13" s="10">
        <v>32097.64</v>
      </c>
      <c r="U13" s="10">
        <v>7461.66</v>
      </c>
      <c r="V13" s="10">
        <v>2803.08</v>
      </c>
      <c r="W13" s="10">
        <v>4098.0600000000004</v>
      </c>
      <c r="X13" s="10">
        <v>3471.68</v>
      </c>
      <c r="Y13" s="9">
        <v>3388823</v>
      </c>
    </row>
    <row r="14" spans="1:25" ht="16.05" customHeight="1" x14ac:dyDescent="0.3">
      <c r="A14" s="2">
        <v>898</v>
      </c>
      <c r="B14" s="2">
        <v>13</v>
      </c>
      <c r="C14" s="2">
        <v>2022</v>
      </c>
      <c r="D14" s="3" t="s">
        <v>25</v>
      </c>
      <c r="E14" s="4">
        <v>2113</v>
      </c>
      <c r="F14" s="5">
        <v>123464568.3</v>
      </c>
      <c r="G14" s="5">
        <v>35841764.18</v>
      </c>
      <c r="H14" s="6">
        <v>29.03</v>
      </c>
      <c r="I14" s="6">
        <v>16.78</v>
      </c>
      <c r="J14" s="5">
        <v>10992.58</v>
      </c>
      <c r="K14" s="5">
        <v>11630.53</v>
      </c>
      <c r="L14" s="5">
        <v>123368237.8</v>
      </c>
      <c r="M14" s="5">
        <v>123457402.5</v>
      </c>
      <c r="N14" s="5">
        <v>96330.54</v>
      </c>
      <c r="O14" s="5">
        <v>123382913.09999999</v>
      </c>
      <c r="P14" s="5">
        <v>123381837.8</v>
      </c>
      <c r="Q14" s="5">
        <v>1075.3499999999999</v>
      </c>
      <c r="R14" s="5">
        <v>20717354.559999999</v>
      </c>
      <c r="S14" s="5">
        <v>15124409.619999999</v>
      </c>
      <c r="T14" s="5">
        <v>17075.16</v>
      </c>
      <c r="U14" s="5">
        <v>17802.57</v>
      </c>
      <c r="V14" s="5">
        <v>11820.05</v>
      </c>
      <c r="W14" s="5">
        <v>2855.32</v>
      </c>
      <c r="X14" s="5">
        <v>3481.76</v>
      </c>
      <c r="Y14" s="4">
        <v>1204838</v>
      </c>
    </row>
    <row r="15" spans="1:25" ht="16.05" customHeight="1" x14ac:dyDescent="0.3">
      <c r="A15" s="7">
        <v>968</v>
      </c>
      <c r="B15" s="7">
        <v>14</v>
      </c>
      <c r="C15" s="7">
        <v>2022</v>
      </c>
      <c r="D15" s="8" t="s">
        <v>25</v>
      </c>
      <c r="E15" s="9">
        <v>374</v>
      </c>
      <c r="F15" s="10">
        <v>24472921.460000001</v>
      </c>
      <c r="G15" s="10">
        <v>3712542.19</v>
      </c>
      <c r="H15" s="11">
        <v>15.17</v>
      </c>
      <c r="I15" s="11">
        <v>19.54</v>
      </c>
      <c r="J15" s="10">
        <v>1396.21</v>
      </c>
      <c r="K15" s="10">
        <v>14451.72</v>
      </c>
      <c r="L15" s="10">
        <v>24448643.699999999</v>
      </c>
      <c r="M15" s="10">
        <v>24467559.170000002</v>
      </c>
      <c r="N15" s="10">
        <v>24277.759999999998</v>
      </c>
      <c r="O15" s="10">
        <v>24454681.600000001</v>
      </c>
      <c r="P15" s="10">
        <v>24446222.199999999</v>
      </c>
      <c r="Q15" s="10">
        <v>8459.4</v>
      </c>
      <c r="R15" s="10">
        <v>4782008.8499999996</v>
      </c>
      <c r="S15" s="10">
        <v>-1069466.67</v>
      </c>
      <c r="T15" s="10">
        <v>53812.54</v>
      </c>
      <c r="U15" s="10">
        <v>31551.69</v>
      </c>
      <c r="V15" s="10">
        <v>4259.51</v>
      </c>
      <c r="W15" s="10">
        <v>1778.39</v>
      </c>
      <c r="X15" s="10">
        <v>3104.35</v>
      </c>
      <c r="Y15" s="9">
        <v>4726058</v>
      </c>
    </row>
    <row r="16" spans="1:25" ht="16.05" customHeight="1" x14ac:dyDescent="0.3">
      <c r="A16" s="2">
        <v>1038</v>
      </c>
      <c r="B16" s="2">
        <v>15</v>
      </c>
      <c r="C16" s="2">
        <v>2022</v>
      </c>
      <c r="D16" s="3" t="s">
        <v>25</v>
      </c>
      <c r="E16" s="4">
        <v>4178</v>
      </c>
      <c r="F16" s="5">
        <v>42667323.729999997</v>
      </c>
      <c r="G16" s="5">
        <v>8938804.3200000003</v>
      </c>
      <c r="H16" s="6">
        <v>20.95</v>
      </c>
      <c r="I16" s="6">
        <v>19.440000000000001</v>
      </c>
      <c r="J16" s="5">
        <v>5111.78</v>
      </c>
      <c r="K16" s="5">
        <v>8245.4500000000007</v>
      </c>
      <c r="L16" s="5">
        <v>42628018.369999997</v>
      </c>
      <c r="M16" s="5">
        <v>42642118.630000003</v>
      </c>
      <c r="N16" s="5">
        <v>39305.360000000001</v>
      </c>
      <c r="O16" s="5">
        <v>42645171.049999997</v>
      </c>
      <c r="P16" s="5">
        <v>42632343.609999999</v>
      </c>
      <c r="Q16" s="5">
        <v>12827.44</v>
      </c>
      <c r="R16" s="5">
        <v>8294527.7300000004</v>
      </c>
      <c r="S16" s="5">
        <v>644276.59</v>
      </c>
      <c r="T16" s="5">
        <v>110659.24</v>
      </c>
      <c r="U16" s="5">
        <v>42826.29</v>
      </c>
      <c r="V16" s="5">
        <v>11741.94</v>
      </c>
      <c r="W16" s="5">
        <v>5410.74</v>
      </c>
      <c r="X16" s="5">
        <v>4487.1000000000004</v>
      </c>
      <c r="Y16" s="4">
        <v>3170689</v>
      </c>
    </row>
    <row r="17" spans="1:25" ht="16.05" customHeight="1" x14ac:dyDescent="0.3">
      <c r="A17" s="7">
        <v>1108</v>
      </c>
      <c r="B17" s="7">
        <v>16</v>
      </c>
      <c r="C17" s="7">
        <v>2022</v>
      </c>
      <c r="D17" s="8" t="s">
        <v>25</v>
      </c>
      <c r="E17" s="9">
        <v>3140</v>
      </c>
      <c r="F17" s="10">
        <v>136612146.09999999</v>
      </c>
      <c r="G17" s="10">
        <v>12377060.439999999</v>
      </c>
      <c r="H17" s="11">
        <v>9.06</v>
      </c>
      <c r="I17" s="11">
        <v>16.54</v>
      </c>
      <c r="J17" s="10">
        <v>11508.41</v>
      </c>
      <c r="K17" s="10">
        <v>9492.6</v>
      </c>
      <c r="L17" s="10">
        <v>136562120.80000001</v>
      </c>
      <c r="M17" s="10">
        <v>136598151.69999999</v>
      </c>
      <c r="N17" s="10">
        <v>50025.31</v>
      </c>
      <c r="O17" s="10">
        <v>136573774.80000001</v>
      </c>
      <c r="P17" s="10">
        <v>136563773.5</v>
      </c>
      <c r="Q17" s="10">
        <v>10001.34</v>
      </c>
      <c r="R17" s="10">
        <v>22595648.969999999</v>
      </c>
      <c r="S17" s="10">
        <v>-10218588.529999999</v>
      </c>
      <c r="T17" s="10">
        <v>110241.25</v>
      </c>
      <c r="U17" s="10">
        <v>24942.65</v>
      </c>
      <c r="V17" s="10">
        <v>8613.93</v>
      </c>
      <c r="W17" s="10">
        <v>3040.05</v>
      </c>
      <c r="X17" s="10">
        <v>1966.84</v>
      </c>
      <c r="Y17" s="9">
        <v>3937094</v>
      </c>
    </row>
    <row r="18" spans="1:25" ht="16.05" customHeight="1" x14ac:dyDescent="0.3">
      <c r="A18" s="2">
        <v>1178</v>
      </c>
      <c r="B18" s="2">
        <v>17</v>
      </c>
      <c r="C18" s="2">
        <v>2022</v>
      </c>
      <c r="D18" s="3" t="s">
        <v>25</v>
      </c>
      <c r="E18" s="4">
        <v>2328</v>
      </c>
      <c r="F18" s="5">
        <v>35231154.960000001</v>
      </c>
      <c r="G18" s="5">
        <v>2705752.7</v>
      </c>
      <c r="H18" s="6">
        <v>7.68</v>
      </c>
      <c r="I18" s="6">
        <v>14.57</v>
      </c>
      <c r="J18" s="5">
        <v>1467.25</v>
      </c>
      <c r="K18" s="5">
        <v>7695.97</v>
      </c>
      <c r="L18" s="5">
        <v>35142229.57</v>
      </c>
      <c r="M18" s="5">
        <v>35206649.329999998</v>
      </c>
      <c r="N18" s="5">
        <v>88925.39</v>
      </c>
      <c r="O18" s="5">
        <v>35158305.689999998</v>
      </c>
      <c r="P18" s="5">
        <v>35147580.229999997</v>
      </c>
      <c r="Q18" s="5">
        <v>10725.46</v>
      </c>
      <c r="R18" s="5">
        <v>5133179.28</v>
      </c>
      <c r="S18" s="5">
        <v>-2427426.58</v>
      </c>
      <c r="T18" s="5">
        <v>43134.559999999998</v>
      </c>
      <c r="U18" s="5">
        <v>52226.95</v>
      </c>
      <c r="V18" s="5">
        <v>9290.9599999999991</v>
      </c>
      <c r="W18" s="5">
        <v>6785.16</v>
      </c>
      <c r="X18" s="5">
        <v>4626.5</v>
      </c>
      <c r="Y18" s="4">
        <v>2196982</v>
      </c>
    </row>
    <row r="19" spans="1:25" ht="16.05" customHeight="1" x14ac:dyDescent="0.3">
      <c r="A19" s="7">
        <v>1248</v>
      </c>
      <c r="B19" s="7">
        <v>18</v>
      </c>
      <c r="C19" s="7">
        <v>2022</v>
      </c>
      <c r="D19" s="8" t="s">
        <v>25</v>
      </c>
      <c r="E19" s="9">
        <v>2663</v>
      </c>
      <c r="F19" s="10">
        <v>144236839.09999999</v>
      </c>
      <c r="G19" s="10">
        <v>9505207.6999999993</v>
      </c>
      <c r="H19" s="11">
        <v>6.59</v>
      </c>
      <c r="I19" s="11">
        <v>6.78</v>
      </c>
      <c r="J19" s="10">
        <v>13780.03</v>
      </c>
      <c r="K19" s="10">
        <v>15177.18</v>
      </c>
      <c r="L19" s="10">
        <v>144173604.09999999</v>
      </c>
      <c r="M19" s="10">
        <v>144214904.59999999</v>
      </c>
      <c r="N19" s="10">
        <v>63235.040000000001</v>
      </c>
      <c r="O19" s="10">
        <v>144186274.30000001</v>
      </c>
      <c r="P19" s="10">
        <v>144180476.40000001</v>
      </c>
      <c r="Q19" s="10">
        <v>5797.97</v>
      </c>
      <c r="R19" s="10">
        <v>9779257.6899999995</v>
      </c>
      <c r="S19" s="10">
        <v>-274049.99</v>
      </c>
      <c r="T19" s="10">
        <v>89100.04</v>
      </c>
      <c r="U19" s="10">
        <v>23827.79</v>
      </c>
      <c r="V19" s="10">
        <v>5971.14</v>
      </c>
      <c r="W19" s="10">
        <v>6699.14</v>
      </c>
      <c r="X19" s="10">
        <v>4522.95</v>
      </c>
      <c r="Y19" s="9">
        <v>2949905</v>
      </c>
    </row>
    <row r="20" spans="1:25" ht="16.05" customHeight="1" x14ac:dyDescent="0.3">
      <c r="A20" s="2">
        <v>1318</v>
      </c>
      <c r="B20" s="2">
        <v>19</v>
      </c>
      <c r="C20" s="2">
        <v>2022</v>
      </c>
      <c r="D20" s="3" t="s">
        <v>25</v>
      </c>
      <c r="E20" s="4">
        <v>2310</v>
      </c>
      <c r="F20" s="5">
        <v>45269801.219999999</v>
      </c>
      <c r="G20" s="5">
        <v>5359944.46</v>
      </c>
      <c r="H20" s="6">
        <v>11.84</v>
      </c>
      <c r="I20" s="6">
        <v>14.61</v>
      </c>
      <c r="J20" s="5">
        <v>13587.43</v>
      </c>
      <c r="K20" s="5">
        <v>14107.17</v>
      </c>
      <c r="L20" s="5">
        <v>45248823.090000004</v>
      </c>
      <c r="M20" s="5">
        <v>45256009.619999997</v>
      </c>
      <c r="N20" s="5">
        <v>20978.13</v>
      </c>
      <c r="O20" s="5">
        <v>45257596.710000001</v>
      </c>
      <c r="P20" s="5">
        <v>45248658.049999997</v>
      </c>
      <c r="Q20" s="5">
        <v>8938.66</v>
      </c>
      <c r="R20" s="5">
        <v>6613917.96</v>
      </c>
      <c r="S20" s="5">
        <v>-1253973.49</v>
      </c>
      <c r="T20" s="5">
        <v>77513.94</v>
      </c>
      <c r="U20" s="5">
        <v>6737.84</v>
      </c>
      <c r="V20" s="5">
        <v>1894.75</v>
      </c>
      <c r="W20" s="5">
        <v>6878.87</v>
      </c>
      <c r="X20" s="5">
        <v>1498.75</v>
      </c>
      <c r="Y20" s="4">
        <v>1992868</v>
      </c>
    </row>
    <row r="21" spans="1:25" ht="16.05" customHeight="1" x14ac:dyDescent="0.3">
      <c r="A21" s="7">
        <v>1388</v>
      </c>
      <c r="B21" s="7">
        <v>20</v>
      </c>
      <c r="C21" s="7">
        <v>2022</v>
      </c>
      <c r="D21" s="8" t="s">
        <v>25</v>
      </c>
      <c r="E21" s="9">
        <v>3526</v>
      </c>
      <c r="F21" s="10">
        <v>210808046.59999999</v>
      </c>
      <c r="G21" s="10">
        <v>12290109.109999999</v>
      </c>
      <c r="H21" s="11">
        <v>5.83</v>
      </c>
      <c r="I21" s="11">
        <v>11.89</v>
      </c>
      <c r="J21" s="10">
        <v>14340.17</v>
      </c>
      <c r="K21" s="10">
        <v>11888.52</v>
      </c>
      <c r="L21" s="10">
        <v>210779219.90000001</v>
      </c>
      <c r="M21" s="10">
        <v>210795591</v>
      </c>
      <c r="N21" s="10">
        <v>28826.67</v>
      </c>
      <c r="O21" s="10">
        <v>210789757.40000001</v>
      </c>
      <c r="P21" s="10">
        <v>210780969.5</v>
      </c>
      <c r="Q21" s="10">
        <v>8787.9599999999991</v>
      </c>
      <c r="R21" s="10">
        <v>25065076.739999998</v>
      </c>
      <c r="S21" s="10">
        <v>-12774967.619999999</v>
      </c>
      <c r="T21" s="10">
        <v>21878.03</v>
      </c>
      <c r="U21" s="10">
        <v>25822.91</v>
      </c>
      <c r="V21" s="10">
        <v>7734.07</v>
      </c>
      <c r="W21" s="10">
        <v>2803.48</v>
      </c>
      <c r="X21" s="10">
        <v>1856.22</v>
      </c>
      <c r="Y21" s="9">
        <v>3105540</v>
      </c>
    </row>
    <row r="22" spans="1:25" ht="16.05" customHeight="1" x14ac:dyDescent="0.3">
      <c r="A22" s="2">
        <v>1458</v>
      </c>
      <c r="B22" s="2">
        <v>21</v>
      </c>
      <c r="C22" s="2">
        <v>2022</v>
      </c>
      <c r="D22" s="3" t="s">
        <v>25</v>
      </c>
      <c r="E22" s="4">
        <v>6489</v>
      </c>
      <c r="F22" s="5">
        <v>58904248.82</v>
      </c>
      <c r="G22" s="5">
        <v>7333578.9800000004</v>
      </c>
      <c r="H22" s="6">
        <v>12.45</v>
      </c>
      <c r="I22" s="6">
        <v>11.04</v>
      </c>
      <c r="J22" s="5">
        <v>10330.19</v>
      </c>
      <c r="K22" s="5">
        <v>15866.96</v>
      </c>
      <c r="L22" s="5">
        <v>58875461.899999999</v>
      </c>
      <c r="M22" s="5">
        <v>58881969.619999997</v>
      </c>
      <c r="N22" s="5">
        <v>28786.92</v>
      </c>
      <c r="O22" s="5">
        <v>58890108.960000001</v>
      </c>
      <c r="P22" s="5">
        <v>58878073.359999999</v>
      </c>
      <c r="Q22" s="5">
        <v>12035.6</v>
      </c>
      <c r="R22" s="5">
        <v>6503029.0700000003</v>
      </c>
      <c r="S22" s="5">
        <v>830549.91</v>
      </c>
      <c r="T22" s="5">
        <v>107740.38</v>
      </c>
      <c r="U22" s="5">
        <v>55368.959999999999</v>
      </c>
      <c r="V22" s="5">
        <v>10797.49</v>
      </c>
      <c r="W22" s="5">
        <v>3849.57</v>
      </c>
      <c r="X22" s="5">
        <v>4304.22</v>
      </c>
      <c r="Y22" s="4">
        <v>2246520</v>
      </c>
    </row>
    <row r="23" spans="1:25" ht="16.05" customHeight="1" x14ac:dyDescent="0.3">
      <c r="A23" s="7">
        <v>1528</v>
      </c>
      <c r="B23" s="7">
        <v>22</v>
      </c>
      <c r="C23" s="7">
        <v>2022</v>
      </c>
      <c r="D23" s="8" t="s">
        <v>25</v>
      </c>
      <c r="E23" s="9">
        <v>6667</v>
      </c>
      <c r="F23" s="10">
        <v>435568630.80000001</v>
      </c>
      <c r="G23" s="10">
        <v>102663526.3</v>
      </c>
      <c r="H23" s="11">
        <v>23.57</v>
      </c>
      <c r="I23" s="11">
        <v>17.170000000000002</v>
      </c>
      <c r="J23" s="10">
        <v>5229.74</v>
      </c>
      <c r="K23" s="10">
        <v>11921.02</v>
      </c>
      <c r="L23" s="10">
        <v>435491633.10000002</v>
      </c>
      <c r="M23" s="10">
        <v>435544711.39999998</v>
      </c>
      <c r="N23" s="10">
        <v>76997.62</v>
      </c>
      <c r="O23" s="10">
        <v>435498231.69999999</v>
      </c>
      <c r="P23" s="10">
        <v>435494671.30000001</v>
      </c>
      <c r="Q23" s="10">
        <v>3560.43</v>
      </c>
      <c r="R23" s="10">
        <v>74787133.900000006</v>
      </c>
      <c r="S23" s="10">
        <v>27876392.370000001</v>
      </c>
      <c r="T23" s="10">
        <v>86162.59</v>
      </c>
      <c r="U23" s="10">
        <v>53814.63</v>
      </c>
      <c r="V23" s="10">
        <v>2070.89</v>
      </c>
      <c r="W23" s="10">
        <v>4527.67</v>
      </c>
      <c r="X23" s="10">
        <v>4436.24</v>
      </c>
      <c r="Y23" s="9">
        <v>2290065</v>
      </c>
    </row>
    <row r="24" spans="1:25" ht="16.05" customHeight="1" x14ac:dyDescent="0.3">
      <c r="A24" s="2">
        <v>1598</v>
      </c>
      <c r="B24" s="2">
        <v>23</v>
      </c>
      <c r="C24" s="2">
        <v>2022</v>
      </c>
      <c r="D24" s="3" t="s">
        <v>25</v>
      </c>
      <c r="E24" s="4">
        <v>2650</v>
      </c>
      <c r="F24" s="5">
        <v>170069106.5</v>
      </c>
      <c r="G24" s="5">
        <v>26445746.059999999</v>
      </c>
      <c r="H24" s="6">
        <v>15.55</v>
      </c>
      <c r="I24" s="6">
        <v>14.56</v>
      </c>
      <c r="J24" s="5">
        <v>13441.28</v>
      </c>
      <c r="K24" s="5">
        <v>14068.32</v>
      </c>
      <c r="L24" s="5">
        <v>169987389.40000001</v>
      </c>
      <c r="M24" s="5">
        <v>170058886.19999999</v>
      </c>
      <c r="N24" s="5">
        <v>81717.08</v>
      </c>
      <c r="O24" s="5">
        <v>169995556</v>
      </c>
      <c r="P24" s="5">
        <v>169990853.40000001</v>
      </c>
      <c r="Q24" s="5">
        <v>4702.6099999999997</v>
      </c>
      <c r="R24" s="5">
        <v>24762061.899999999</v>
      </c>
      <c r="S24" s="5">
        <v>1683684.15</v>
      </c>
      <c r="T24" s="5">
        <v>89952</v>
      </c>
      <c r="U24" s="5">
        <v>7528.65</v>
      </c>
      <c r="V24" s="5">
        <v>3992.19</v>
      </c>
      <c r="W24" s="5">
        <v>4174.3999999999996</v>
      </c>
      <c r="X24" s="5">
        <v>1275.6600000000001</v>
      </c>
      <c r="Y24" s="4">
        <v>2832440</v>
      </c>
    </row>
    <row r="25" spans="1:25" ht="16.05" customHeight="1" x14ac:dyDescent="0.3">
      <c r="A25" s="7">
        <v>1668</v>
      </c>
      <c r="B25" s="7">
        <v>24</v>
      </c>
      <c r="C25" s="7">
        <v>2022</v>
      </c>
      <c r="D25" s="8" t="s">
        <v>25</v>
      </c>
      <c r="E25" s="9">
        <v>5156</v>
      </c>
      <c r="F25" s="10">
        <v>38426151.009999998</v>
      </c>
      <c r="G25" s="10">
        <v>5310494.07</v>
      </c>
      <c r="H25" s="11">
        <v>13.82</v>
      </c>
      <c r="I25" s="11">
        <v>18.63</v>
      </c>
      <c r="J25" s="10">
        <v>8212.23</v>
      </c>
      <c r="K25" s="10">
        <v>14366.36</v>
      </c>
      <c r="L25" s="10">
        <v>38369006.659999996</v>
      </c>
      <c r="M25" s="10">
        <v>38404362.829999998</v>
      </c>
      <c r="N25" s="10">
        <v>57144.35</v>
      </c>
      <c r="O25" s="10">
        <v>38381133.369999997</v>
      </c>
      <c r="P25" s="10">
        <v>38373738.039999999</v>
      </c>
      <c r="Q25" s="10">
        <v>7395.33</v>
      </c>
      <c r="R25" s="10">
        <v>7158791.9299999997</v>
      </c>
      <c r="S25" s="10">
        <v>-1848297.86</v>
      </c>
      <c r="T25" s="10">
        <v>95512.15</v>
      </c>
      <c r="U25" s="10">
        <v>9754.77</v>
      </c>
      <c r="V25" s="10">
        <v>5866.27</v>
      </c>
      <c r="W25" s="10">
        <v>6260.44</v>
      </c>
      <c r="X25" s="10">
        <v>4869.45</v>
      </c>
      <c r="Y25" s="9">
        <v>3914088</v>
      </c>
    </row>
    <row r="26" spans="1:25" ht="16.05" customHeight="1" x14ac:dyDescent="0.3">
      <c r="A26" s="2">
        <v>1738</v>
      </c>
      <c r="B26" s="2">
        <v>25</v>
      </c>
      <c r="C26" s="2">
        <v>2022</v>
      </c>
      <c r="D26" s="3" t="s">
        <v>25</v>
      </c>
      <c r="E26" s="4">
        <v>4705</v>
      </c>
      <c r="F26" s="5">
        <v>120868917.59999999</v>
      </c>
      <c r="G26" s="5">
        <v>30567749.25</v>
      </c>
      <c r="H26" s="6">
        <v>25.29</v>
      </c>
      <c r="I26" s="6">
        <v>16.53</v>
      </c>
      <c r="J26" s="5">
        <v>6054.96</v>
      </c>
      <c r="K26" s="5">
        <v>17345.97</v>
      </c>
      <c r="L26" s="5">
        <v>120850967.90000001</v>
      </c>
      <c r="M26" s="5">
        <v>120856482.59999999</v>
      </c>
      <c r="N26" s="5">
        <v>17949.669999999998</v>
      </c>
      <c r="O26" s="5">
        <v>120866084.09999999</v>
      </c>
      <c r="P26" s="5">
        <v>120861904.5</v>
      </c>
      <c r="Q26" s="5">
        <v>4179.6400000000003</v>
      </c>
      <c r="R26" s="5">
        <v>19979632.079999998</v>
      </c>
      <c r="S26" s="5">
        <v>10588117.18</v>
      </c>
      <c r="T26" s="5">
        <v>12579.03</v>
      </c>
      <c r="U26" s="5">
        <v>48296.56</v>
      </c>
      <c r="V26" s="5">
        <v>8265.0300000000007</v>
      </c>
      <c r="W26" s="5">
        <v>6851.18</v>
      </c>
      <c r="X26" s="5">
        <v>4099.6499999999996</v>
      </c>
      <c r="Y26" s="4">
        <v>3017122</v>
      </c>
    </row>
    <row r="27" spans="1:25" ht="16.05" customHeight="1" x14ac:dyDescent="0.3">
      <c r="A27" s="7">
        <v>1808</v>
      </c>
      <c r="B27" s="7">
        <v>26</v>
      </c>
      <c r="C27" s="7">
        <v>2022</v>
      </c>
      <c r="D27" s="8" t="s">
        <v>25</v>
      </c>
      <c r="E27" s="9">
        <v>2121</v>
      </c>
      <c r="F27" s="10">
        <v>137551324.59999999</v>
      </c>
      <c r="G27" s="10">
        <v>31347946.879999999</v>
      </c>
      <c r="H27" s="11">
        <v>22.79</v>
      </c>
      <c r="I27" s="11">
        <v>15</v>
      </c>
      <c r="J27" s="10">
        <v>13662.67</v>
      </c>
      <c r="K27" s="10">
        <v>19023.599999999999</v>
      </c>
      <c r="L27" s="10">
        <v>137478883.69999999</v>
      </c>
      <c r="M27" s="10">
        <v>137529665.69999999</v>
      </c>
      <c r="N27" s="10">
        <v>72440.87</v>
      </c>
      <c r="O27" s="10">
        <v>137496617.80000001</v>
      </c>
      <c r="P27" s="10">
        <v>137481775.30000001</v>
      </c>
      <c r="Q27" s="10">
        <v>14842.52</v>
      </c>
      <c r="R27" s="10">
        <v>20632698.690000001</v>
      </c>
      <c r="S27" s="10">
        <v>10715248.189999999</v>
      </c>
      <c r="T27" s="10">
        <v>40663.550000000003</v>
      </c>
      <c r="U27" s="10">
        <v>25158.59</v>
      </c>
      <c r="V27" s="10">
        <v>11857.96</v>
      </c>
      <c r="W27" s="10">
        <v>5876.08</v>
      </c>
      <c r="X27" s="10">
        <v>3101.03</v>
      </c>
      <c r="Y27" s="9">
        <v>2545726</v>
      </c>
    </row>
    <row r="28" spans="1:25" ht="16.05" customHeight="1" x14ac:dyDescent="0.3">
      <c r="A28" s="2">
        <v>1878</v>
      </c>
      <c r="B28" s="2">
        <v>27</v>
      </c>
      <c r="C28" s="2">
        <v>2022</v>
      </c>
      <c r="D28" s="3" t="s">
        <v>25</v>
      </c>
      <c r="E28" s="4">
        <v>2102</v>
      </c>
      <c r="F28" s="5">
        <v>102498034.90000001</v>
      </c>
      <c r="G28" s="5">
        <v>18347148.25</v>
      </c>
      <c r="H28" s="6">
        <v>17.899999999999999</v>
      </c>
      <c r="I28" s="6">
        <v>18.88</v>
      </c>
      <c r="J28" s="5">
        <v>7958.25</v>
      </c>
      <c r="K28" s="5">
        <v>10079.120000000001</v>
      </c>
      <c r="L28" s="5">
        <v>102437261.7</v>
      </c>
      <c r="M28" s="5">
        <v>102491175.40000001</v>
      </c>
      <c r="N28" s="5">
        <v>60773.15</v>
      </c>
      <c r="O28" s="5">
        <v>102446139.5</v>
      </c>
      <c r="P28" s="5">
        <v>102444844.09999999</v>
      </c>
      <c r="Q28" s="5">
        <v>1295.44</v>
      </c>
      <c r="R28" s="5">
        <v>19351628.989999998</v>
      </c>
      <c r="S28" s="5">
        <v>-1004480.74</v>
      </c>
      <c r="T28" s="5">
        <v>22979.64</v>
      </c>
      <c r="U28" s="5">
        <v>24498.36</v>
      </c>
      <c r="V28" s="5">
        <v>5340.63</v>
      </c>
      <c r="W28" s="5">
        <v>3537.16</v>
      </c>
      <c r="X28" s="5">
        <v>2505.61</v>
      </c>
      <c r="Y28" s="4">
        <v>4064364</v>
      </c>
    </row>
    <row r="29" spans="1:25" ht="16.05" customHeight="1" x14ac:dyDescent="0.3">
      <c r="A29" s="7">
        <v>1948</v>
      </c>
      <c r="B29" s="7">
        <v>28</v>
      </c>
      <c r="C29" s="7">
        <v>2022</v>
      </c>
      <c r="D29" s="8" t="s">
        <v>25</v>
      </c>
      <c r="E29" s="9">
        <v>4279</v>
      </c>
      <c r="F29" s="10">
        <v>73818186.030000001</v>
      </c>
      <c r="G29" s="10">
        <v>7492545.8799999999</v>
      </c>
      <c r="H29" s="11">
        <v>10.15</v>
      </c>
      <c r="I29" s="11">
        <v>11.21</v>
      </c>
      <c r="J29" s="10">
        <v>3847.96</v>
      </c>
      <c r="K29" s="10">
        <v>13115.04</v>
      </c>
      <c r="L29" s="10">
        <v>73767782.659999996</v>
      </c>
      <c r="M29" s="10">
        <v>73809266.189999998</v>
      </c>
      <c r="N29" s="10">
        <v>50403.37</v>
      </c>
      <c r="O29" s="10">
        <v>73777443.390000001</v>
      </c>
      <c r="P29" s="10">
        <v>73769891.489999995</v>
      </c>
      <c r="Q29" s="10">
        <v>7551.9</v>
      </c>
      <c r="R29" s="10">
        <v>8275018.6500000004</v>
      </c>
      <c r="S29" s="10">
        <v>-782472.77</v>
      </c>
      <c r="T29" s="10">
        <v>116776.68</v>
      </c>
      <c r="U29" s="10">
        <v>36339.019999999997</v>
      </c>
      <c r="V29" s="10">
        <v>7060.53</v>
      </c>
      <c r="W29" s="10">
        <v>2600.1999999999998</v>
      </c>
      <c r="X29" s="10">
        <v>2620.87</v>
      </c>
      <c r="Y29" s="9">
        <v>4544387</v>
      </c>
    </row>
    <row r="30" spans="1:25" ht="16.05" customHeight="1" x14ac:dyDescent="0.3">
      <c r="A30" s="2">
        <v>2018</v>
      </c>
      <c r="B30" s="2">
        <v>29</v>
      </c>
      <c r="C30" s="2">
        <v>2022</v>
      </c>
      <c r="D30" s="3" t="s">
        <v>25</v>
      </c>
      <c r="E30" s="4">
        <v>6603</v>
      </c>
      <c r="F30" s="5">
        <v>65842624.890000001</v>
      </c>
      <c r="G30" s="5">
        <v>15209646.35</v>
      </c>
      <c r="H30" s="6">
        <v>23.1</v>
      </c>
      <c r="I30" s="6">
        <v>7.44</v>
      </c>
      <c r="J30" s="5">
        <v>13477.59</v>
      </c>
      <c r="K30" s="5">
        <v>17561.900000000001</v>
      </c>
      <c r="L30" s="5">
        <v>65808274.700000003</v>
      </c>
      <c r="M30" s="5">
        <v>65821575.600000001</v>
      </c>
      <c r="N30" s="5">
        <v>34350.19</v>
      </c>
      <c r="O30" s="5">
        <v>65814016.479999997</v>
      </c>
      <c r="P30" s="5">
        <v>65810099.219999999</v>
      </c>
      <c r="Q30" s="5">
        <v>3917.26</v>
      </c>
      <c r="R30" s="5">
        <v>4898691.29</v>
      </c>
      <c r="S30" s="5">
        <v>10310955.060000001</v>
      </c>
      <c r="T30" s="5">
        <v>92446.82</v>
      </c>
      <c r="U30" s="5">
        <v>11035.29</v>
      </c>
      <c r="V30" s="5">
        <v>4936.28</v>
      </c>
      <c r="W30" s="5">
        <v>805.5</v>
      </c>
      <c r="X30" s="5">
        <v>1248.71</v>
      </c>
      <c r="Y30" s="4">
        <v>1885502</v>
      </c>
    </row>
    <row r="31" spans="1:25" ht="16.05" customHeight="1" x14ac:dyDescent="0.3">
      <c r="A31" s="7">
        <v>2088</v>
      </c>
      <c r="B31" s="7">
        <v>30</v>
      </c>
      <c r="C31" s="7">
        <v>2022</v>
      </c>
      <c r="D31" s="8" t="s">
        <v>25</v>
      </c>
      <c r="E31" s="9">
        <v>5315</v>
      </c>
      <c r="F31" s="10">
        <v>28359056.170000002</v>
      </c>
      <c r="G31" s="10">
        <v>4900444.91</v>
      </c>
      <c r="H31" s="11">
        <v>17.28</v>
      </c>
      <c r="I31" s="11">
        <v>18.420000000000002</v>
      </c>
      <c r="J31" s="10">
        <v>9682.18</v>
      </c>
      <c r="K31" s="10">
        <v>5662.63</v>
      </c>
      <c r="L31" s="10">
        <v>28344734.32</v>
      </c>
      <c r="M31" s="10">
        <v>28352928.629999999</v>
      </c>
      <c r="N31" s="10">
        <v>14321.85</v>
      </c>
      <c r="O31" s="10">
        <v>28353463.989999998</v>
      </c>
      <c r="P31" s="10">
        <v>28346091.68</v>
      </c>
      <c r="Q31" s="10">
        <v>7372.31</v>
      </c>
      <c r="R31" s="10">
        <v>5223738.1500000004</v>
      </c>
      <c r="S31" s="10">
        <v>-323293.24</v>
      </c>
      <c r="T31" s="10">
        <v>10448.58</v>
      </c>
      <c r="U31" s="10">
        <v>46440.62</v>
      </c>
      <c r="V31" s="10">
        <v>7579.96</v>
      </c>
      <c r="W31" s="10">
        <v>1149.71</v>
      </c>
      <c r="X31" s="10">
        <v>2556.17</v>
      </c>
      <c r="Y31" s="9">
        <v>3700441</v>
      </c>
    </row>
    <row r="32" spans="1:25" ht="16.05" customHeight="1" x14ac:dyDescent="0.3">
      <c r="A32" s="2">
        <v>2158</v>
      </c>
      <c r="B32" s="2">
        <v>31</v>
      </c>
      <c r="C32" s="2">
        <v>2022</v>
      </c>
      <c r="D32" s="3" t="s">
        <v>25</v>
      </c>
      <c r="E32" s="4">
        <v>3465</v>
      </c>
      <c r="F32" s="5">
        <v>40063286.380000003</v>
      </c>
      <c r="G32" s="5">
        <v>3289195.81</v>
      </c>
      <c r="H32" s="6">
        <v>8.2100000000000009</v>
      </c>
      <c r="I32" s="6">
        <v>8.59</v>
      </c>
      <c r="J32" s="5">
        <v>13964.73</v>
      </c>
      <c r="K32" s="5">
        <v>13422.81</v>
      </c>
      <c r="L32" s="5">
        <v>40052815.630000003</v>
      </c>
      <c r="M32" s="5">
        <v>40047840.979999997</v>
      </c>
      <c r="N32" s="5">
        <v>10470.75</v>
      </c>
      <c r="O32" s="5">
        <v>40059540.299999997</v>
      </c>
      <c r="P32" s="5">
        <v>40051333.100000001</v>
      </c>
      <c r="Q32" s="5">
        <v>8207.2000000000007</v>
      </c>
      <c r="R32" s="5">
        <v>3441436.3</v>
      </c>
      <c r="S32" s="5">
        <v>-152240.49</v>
      </c>
      <c r="T32" s="5">
        <v>27762.11</v>
      </c>
      <c r="U32" s="5">
        <v>25195.22</v>
      </c>
      <c r="V32" s="5">
        <v>1758.72</v>
      </c>
      <c r="W32" s="5">
        <v>4965.95</v>
      </c>
      <c r="X32" s="5">
        <v>4580.9799999999996</v>
      </c>
      <c r="Y32" s="4">
        <v>4728342</v>
      </c>
    </row>
    <row r="33" spans="1:25" ht="16.05" customHeight="1" x14ac:dyDescent="0.3">
      <c r="A33" s="7">
        <v>2228</v>
      </c>
      <c r="B33" s="7">
        <v>32</v>
      </c>
      <c r="C33" s="7">
        <v>2022</v>
      </c>
      <c r="D33" s="8" t="s">
        <v>25</v>
      </c>
      <c r="E33" s="9">
        <v>5525</v>
      </c>
      <c r="F33" s="10">
        <v>338550897.60000002</v>
      </c>
      <c r="G33" s="10">
        <v>62835046.600000001</v>
      </c>
      <c r="H33" s="11">
        <v>18.559999999999999</v>
      </c>
      <c r="I33" s="11">
        <v>10.220000000000001</v>
      </c>
      <c r="J33" s="10">
        <v>8154.35</v>
      </c>
      <c r="K33" s="10">
        <v>19642.37</v>
      </c>
      <c r="L33" s="10">
        <v>338474003.10000002</v>
      </c>
      <c r="M33" s="10">
        <v>338543399.60000002</v>
      </c>
      <c r="N33" s="10">
        <v>76894.570000000007</v>
      </c>
      <c r="O33" s="10">
        <v>338483756.19999999</v>
      </c>
      <c r="P33" s="10">
        <v>338470900.10000002</v>
      </c>
      <c r="Q33" s="10">
        <v>12856.08</v>
      </c>
      <c r="R33" s="10">
        <v>34599901.740000002</v>
      </c>
      <c r="S33" s="10">
        <v>28235144.859999999</v>
      </c>
      <c r="T33" s="10">
        <v>118149.18</v>
      </c>
      <c r="U33" s="10">
        <v>36435.4</v>
      </c>
      <c r="V33" s="10">
        <v>2659.65</v>
      </c>
      <c r="W33" s="10">
        <v>7093.44</v>
      </c>
      <c r="X33" s="10">
        <v>2211.75</v>
      </c>
      <c r="Y33" s="9">
        <v>4962373</v>
      </c>
    </row>
    <row r="34" spans="1:25" ht="16.05" customHeight="1" x14ac:dyDescent="0.3">
      <c r="A34" s="2">
        <v>2298</v>
      </c>
      <c r="B34" s="2">
        <v>33</v>
      </c>
      <c r="C34" s="2">
        <v>2022</v>
      </c>
      <c r="D34" s="3" t="s">
        <v>25</v>
      </c>
      <c r="E34" s="4">
        <v>1402</v>
      </c>
      <c r="F34" s="5">
        <v>42543570.740000002</v>
      </c>
      <c r="G34" s="5">
        <v>7045215.3099999996</v>
      </c>
      <c r="H34" s="6">
        <v>16.559999999999999</v>
      </c>
      <c r="I34" s="6">
        <v>16.920000000000002</v>
      </c>
      <c r="J34" s="5">
        <v>11042.4</v>
      </c>
      <c r="K34" s="5">
        <v>16611.650000000001</v>
      </c>
      <c r="L34" s="5">
        <v>42516628.700000003</v>
      </c>
      <c r="M34" s="5">
        <v>42527691.100000001</v>
      </c>
      <c r="N34" s="5">
        <v>26942.04</v>
      </c>
      <c r="O34" s="5">
        <v>42522893.689999998</v>
      </c>
      <c r="P34" s="5">
        <v>42517482.729999997</v>
      </c>
      <c r="Q34" s="5">
        <v>5410.96</v>
      </c>
      <c r="R34" s="5">
        <v>7198372.1699999999</v>
      </c>
      <c r="S34" s="5">
        <v>-153156.85</v>
      </c>
      <c r="T34" s="5">
        <v>101444.1</v>
      </c>
      <c r="U34" s="5">
        <v>56782.13</v>
      </c>
      <c r="V34" s="5">
        <v>5672.06</v>
      </c>
      <c r="W34" s="5">
        <v>592.92999999999995</v>
      </c>
      <c r="X34" s="5">
        <v>1699.84</v>
      </c>
      <c r="Y34" s="4">
        <v>4862222</v>
      </c>
    </row>
    <row r="35" spans="1:25" ht="16.05" customHeight="1" x14ac:dyDescent="0.3">
      <c r="A35" s="7">
        <v>2368</v>
      </c>
      <c r="B35" s="7">
        <v>34</v>
      </c>
      <c r="C35" s="7">
        <v>2022</v>
      </c>
      <c r="D35" s="8" t="s">
        <v>25</v>
      </c>
      <c r="E35" s="9">
        <v>667</v>
      </c>
      <c r="F35" s="10">
        <v>8281114.8899999997</v>
      </c>
      <c r="G35" s="10">
        <v>633505.29</v>
      </c>
      <c r="H35" s="11">
        <v>7.65</v>
      </c>
      <c r="I35" s="11">
        <v>8.1199999999999992</v>
      </c>
      <c r="J35" s="10">
        <v>13370.34</v>
      </c>
      <c r="K35" s="10">
        <v>12056.72</v>
      </c>
      <c r="L35" s="10">
        <v>8247074.0999999996</v>
      </c>
      <c r="M35" s="10">
        <v>8257676.6600000001</v>
      </c>
      <c r="N35" s="10">
        <v>34040.79</v>
      </c>
      <c r="O35" s="10">
        <v>8252223.4199999999</v>
      </c>
      <c r="P35" s="10">
        <v>8242727.3499999996</v>
      </c>
      <c r="Q35" s="10">
        <v>9496.07</v>
      </c>
      <c r="R35" s="10">
        <v>672426.53</v>
      </c>
      <c r="S35" s="10">
        <v>-38921.24</v>
      </c>
      <c r="T35" s="10">
        <v>94325.84</v>
      </c>
      <c r="U35" s="10">
        <v>45394.38</v>
      </c>
      <c r="V35" s="10">
        <v>4224.75</v>
      </c>
      <c r="W35" s="10">
        <v>924.57</v>
      </c>
      <c r="X35" s="10">
        <v>3835.94</v>
      </c>
      <c r="Y35" s="9">
        <v>1882272</v>
      </c>
    </row>
    <row r="36" spans="1:25" ht="16.05" customHeight="1" x14ac:dyDescent="0.3">
      <c r="A36" s="2">
        <v>2438</v>
      </c>
      <c r="B36" s="2">
        <v>35</v>
      </c>
      <c r="C36" s="2">
        <v>2022</v>
      </c>
      <c r="D36" s="3" t="s">
        <v>25</v>
      </c>
      <c r="E36" s="4">
        <v>6516</v>
      </c>
      <c r="F36" s="5">
        <v>430089696.5</v>
      </c>
      <c r="G36" s="5">
        <v>122876626.3</v>
      </c>
      <c r="H36" s="6">
        <v>28.57</v>
      </c>
      <c r="I36" s="6">
        <v>10.89</v>
      </c>
      <c r="J36" s="5">
        <v>4220.6099999999997</v>
      </c>
      <c r="K36" s="5">
        <v>11196.24</v>
      </c>
      <c r="L36" s="5">
        <v>430004591.5</v>
      </c>
      <c r="M36" s="5">
        <v>430072231.5</v>
      </c>
      <c r="N36" s="5">
        <v>85105.01</v>
      </c>
      <c r="O36" s="5">
        <v>430021693.39999998</v>
      </c>
      <c r="P36" s="5">
        <v>430015820.89999998</v>
      </c>
      <c r="Q36" s="5">
        <v>5872.43</v>
      </c>
      <c r="R36" s="5">
        <v>46836767.950000003</v>
      </c>
      <c r="S36" s="5">
        <v>76039858.349999994</v>
      </c>
      <c r="T36" s="5">
        <v>108139.06</v>
      </c>
      <c r="U36" s="5">
        <v>35955.26</v>
      </c>
      <c r="V36" s="5">
        <v>9346.23</v>
      </c>
      <c r="W36" s="5">
        <v>7755.62</v>
      </c>
      <c r="X36" s="5">
        <v>2809.31</v>
      </c>
      <c r="Y36" s="4">
        <v>3021084</v>
      </c>
    </row>
    <row r="37" spans="1:25" ht="16.05" customHeight="1" x14ac:dyDescent="0.3">
      <c r="A37" s="7">
        <v>2508</v>
      </c>
      <c r="B37" s="7">
        <v>36</v>
      </c>
      <c r="C37" s="7">
        <v>2022</v>
      </c>
      <c r="D37" s="8" t="s">
        <v>25</v>
      </c>
      <c r="E37" s="9">
        <v>274</v>
      </c>
      <c r="F37" s="10">
        <v>5397732.3200000003</v>
      </c>
      <c r="G37" s="10">
        <v>1356450.13</v>
      </c>
      <c r="H37" s="11">
        <v>25.13</v>
      </c>
      <c r="I37" s="11">
        <v>18.96</v>
      </c>
      <c r="J37" s="10">
        <v>8763.5499999999993</v>
      </c>
      <c r="K37" s="10">
        <v>13298.13</v>
      </c>
      <c r="L37" s="10">
        <v>5367251.24</v>
      </c>
      <c r="M37" s="10">
        <v>5380161.7699999996</v>
      </c>
      <c r="N37" s="10">
        <v>30481.08</v>
      </c>
      <c r="O37" s="10">
        <v>5373670.4100000001</v>
      </c>
      <c r="P37" s="10">
        <v>5364020.46</v>
      </c>
      <c r="Q37" s="10">
        <v>9649.9500000000007</v>
      </c>
      <c r="R37" s="10">
        <v>1023410.05</v>
      </c>
      <c r="S37" s="10">
        <v>333040.08</v>
      </c>
      <c r="T37" s="10">
        <v>12291.76</v>
      </c>
      <c r="U37" s="10">
        <v>42614.879999999997</v>
      </c>
      <c r="V37" s="10">
        <v>1950.93</v>
      </c>
      <c r="W37" s="10">
        <v>4468.24</v>
      </c>
      <c r="X37" s="10">
        <v>2870.69</v>
      </c>
      <c r="Y37" s="9">
        <v>4482046</v>
      </c>
    </row>
    <row r="38" spans="1:25" ht="16.05" customHeight="1" x14ac:dyDescent="0.3">
      <c r="A38" s="2">
        <v>2578</v>
      </c>
      <c r="B38" s="2">
        <v>37</v>
      </c>
      <c r="C38" s="2">
        <v>2022</v>
      </c>
      <c r="D38" s="3" t="s">
        <v>25</v>
      </c>
      <c r="E38" s="4">
        <v>205</v>
      </c>
      <c r="F38" s="5">
        <v>2535804.21</v>
      </c>
      <c r="G38" s="5">
        <v>685427.88</v>
      </c>
      <c r="H38" s="6">
        <v>27.03</v>
      </c>
      <c r="I38" s="6">
        <v>10.38</v>
      </c>
      <c r="J38" s="5">
        <v>6907.77</v>
      </c>
      <c r="K38" s="5">
        <v>8513.56</v>
      </c>
      <c r="L38" s="5">
        <v>2471223.3199999998</v>
      </c>
      <c r="M38" s="5">
        <v>2521742.9900000002</v>
      </c>
      <c r="N38" s="5">
        <v>64580.89</v>
      </c>
      <c r="O38" s="5">
        <v>2491183.5</v>
      </c>
      <c r="P38" s="5">
        <v>2489754.44</v>
      </c>
      <c r="Q38" s="5">
        <v>1429.06</v>
      </c>
      <c r="R38" s="5">
        <v>263216.48</v>
      </c>
      <c r="S38" s="5">
        <v>422211.4</v>
      </c>
      <c r="T38" s="5">
        <v>18925.099999999999</v>
      </c>
      <c r="U38" s="5">
        <v>36308.879999999997</v>
      </c>
      <c r="V38" s="5">
        <v>11977.46</v>
      </c>
      <c r="W38" s="5">
        <v>7982.72</v>
      </c>
      <c r="X38" s="5">
        <v>3126.88</v>
      </c>
      <c r="Y38" s="4">
        <v>3839977</v>
      </c>
    </row>
    <row r="39" spans="1:25" ht="16.05" customHeight="1" x14ac:dyDescent="0.3">
      <c r="A39" s="7">
        <v>2648</v>
      </c>
      <c r="B39" s="7">
        <v>38</v>
      </c>
      <c r="C39" s="7">
        <v>2022</v>
      </c>
      <c r="D39" s="8" t="s">
        <v>25</v>
      </c>
      <c r="E39" s="9">
        <v>3599</v>
      </c>
      <c r="F39" s="10">
        <v>184041824.30000001</v>
      </c>
      <c r="G39" s="10">
        <v>48090128.700000003</v>
      </c>
      <c r="H39" s="11">
        <v>26.13</v>
      </c>
      <c r="I39" s="11">
        <v>18.16</v>
      </c>
      <c r="J39" s="10">
        <v>9169.16</v>
      </c>
      <c r="K39" s="10">
        <v>13091</v>
      </c>
      <c r="L39" s="10">
        <v>183999216.69999999</v>
      </c>
      <c r="M39" s="10">
        <v>184038111.19999999</v>
      </c>
      <c r="N39" s="10">
        <v>42607.59</v>
      </c>
      <c r="O39" s="10">
        <v>184008417.09999999</v>
      </c>
      <c r="P39" s="10">
        <v>183996545.59999999</v>
      </c>
      <c r="Q39" s="10">
        <v>11871.43</v>
      </c>
      <c r="R39" s="10">
        <v>33421995.300000001</v>
      </c>
      <c r="S39" s="10">
        <v>14668133.4</v>
      </c>
      <c r="T39" s="10">
        <v>104784.77</v>
      </c>
      <c r="U39" s="10">
        <v>51566.74</v>
      </c>
      <c r="V39" s="10">
        <v>5448.65</v>
      </c>
      <c r="W39" s="10">
        <v>3751.69</v>
      </c>
      <c r="X39" s="10">
        <v>3570.22</v>
      </c>
      <c r="Y39" s="9">
        <v>2278418</v>
      </c>
    </row>
    <row r="40" spans="1:25" ht="16.05" customHeight="1" x14ac:dyDescent="0.3">
      <c r="A40" s="2">
        <v>2718</v>
      </c>
      <c r="B40" s="2">
        <v>39</v>
      </c>
      <c r="C40" s="2">
        <v>2022</v>
      </c>
      <c r="D40" s="3" t="s">
        <v>25</v>
      </c>
      <c r="E40" s="4">
        <v>1792</v>
      </c>
      <c r="F40" s="5">
        <v>67519844.319999993</v>
      </c>
      <c r="G40" s="5">
        <v>11275814</v>
      </c>
      <c r="H40" s="6">
        <v>16.7</v>
      </c>
      <c r="I40" s="6">
        <v>12.78</v>
      </c>
      <c r="J40" s="5">
        <v>4468.5200000000004</v>
      </c>
      <c r="K40" s="5">
        <v>13928.24</v>
      </c>
      <c r="L40" s="5">
        <v>67471110.109999999</v>
      </c>
      <c r="M40" s="5">
        <v>67509435.480000004</v>
      </c>
      <c r="N40" s="5">
        <v>48734.21</v>
      </c>
      <c r="O40" s="5">
        <v>67478542.569999993</v>
      </c>
      <c r="P40" s="5">
        <v>67473264.840000004</v>
      </c>
      <c r="Q40" s="5">
        <v>5277.73</v>
      </c>
      <c r="R40" s="5">
        <v>8629036.0999999996</v>
      </c>
      <c r="S40" s="5">
        <v>2646777.9</v>
      </c>
      <c r="T40" s="5">
        <v>36634.080000000002</v>
      </c>
      <c r="U40" s="5">
        <v>18437.03</v>
      </c>
      <c r="V40" s="5">
        <v>1186.76</v>
      </c>
      <c r="W40" s="5">
        <v>6245.7</v>
      </c>
      <c r="X40" s="5">
        <v>2572.8000000000002</v>
      </c>
      <c r="Y40" s="4">
        <v>2382952</v>
      </c>
    </row>
    <row r="41" spans="1:25" ht="16.05" customHeight="1" x14ac:dyDescent="0.3">
      <c r="A41" s="7">
        <v>2788</v>
      </c>
      <c r="B41" s="7">
        <v>40</v>
      </c>
      <c r="C41" s="7">
        <v>2022</v>
      </c>
      <c r="D41" s="8" t="s">
        <v>25</v>
      </c>
      <c r="E41" s="9">
        <v>6380</v>
      </c>
      <c r="F41" s="10">
        <v>285804061.80000001</v>
      </c>
      <c r="G41" s="10">
        <v>56760686.68</v>
      </c>
      <c r="H41" s="11">
        <v>19.86</v>
      </c>
      <c r="I41" s="11">
        <v>6.09</v>
      </c>
      <c r="J41" s="10">
        <v>11324.27</v>
      </c>
      <c r="K41" s="10">
        <v>4806.88</v>
      </c>
      <c r="L41" s="10">
        <v>285755649.5</v>
      </c>
      <c r="M41" s="10">
        <v>285784054.69999999</v>
      </c>
      <c r="N41" s="10">
        <v>48412.29</v>
      </c>
      <c r="O41" s="10">
        <v>285768395.69999999</v>
      </c>
      <c r="P41" s="10">
        <v>285760858</v>
      </c>
      <c r="Q41" s="10">
        <v>7537.68</v>
      </c>
      <c r="R41" s="10">
        <v>17405467.359999999</v>
      </c>
      <c r="S41" s="10">
        <v>39355219.310000002</v>
      </c>
      <c r="T41" s="10">
        <v>16884.87</v>
      </c>
      <c r="U41" s="10">
        <v>31374.85</v>
      </c>
      <c r="V41" s="10">
        <v>10533.59</v>
      </c>
      <c r="W41" s="10">
        <v>2212.5700000000002</v>
      </c>
      <c r="X41" s="10">
        <v>4770.3999999999996</v>
      </c>
      <c r="Y41" s="9">
        <v>2952599</v>
      </c>
    </row>
    <row r="42" spans="1:25" ht="16.05" customHeight="1" x14ac:dyDescent="0.3">
      <c r="A42" s="2">
        <v>2858</v>
      </c>
      <c r="B42" s="2">
        <v>41</v>
      </c>
      <c r="C42" s="2">
        <v>2022</v>
      </c>
      <c r="D42" s="3" t="s">
        <v>25</v>
      </c>
      <c r="E42" s="4">
        <v>4819</v>
      </c>
      <c r="F42" s="5">
        <v>242133226.19999999</v>
      </c>
      <c r="G42" s="5">
        <v>61961892.590000004</v>
      </c>
      <c r="H42" s="6">
        <v>25.59</v>
      </c>
      <c r="I42" s="6">
        <v>18.510000000000002</v>
      </c>
      <c r="J42" s="5">
        <v>1826.07</v>
      </c>
      <c r="K42" s="5">
        <v>9122.52</v>
      </c>
      <c r="L42" s="5">
        <v>242091743</v>
      </c>
      <c r="M42" s="5">
        <v>242120910.90000001</v>
      </c>
      <c r="N42" s="5">
        <v>41483.160000000003</v>
      </c>
      <c r="O42" s="5">
        <v>242102222.5</v>
      </c>
      <c r="P42" s="5">
        <v>242099326.90000001</v>
      </c>
      <c r="Q42" s="5">
        <v>2895.57</v>
      </c>
      <c r="R42" s="5">
        <v>44818860.170000002</v>
      </c>
      <c r="S42" s="5">
        <v>17143032.420000002</v>
      </c>
      <c r="T42" s="5">
        <v>30438.13</v>
      </c>
      <c r="U42" s="5">
        <v>52966.49</v>
      </c>
      <c r="V42" s="5">
        <v>8967.32</v>
      </c>
      <c r="W42" s="5">
        <v>1512.15</v>
      </c>
      <c r="X42" s="5">
        <v>2055.67</v>
      </c>
      <c r="Y42" s="4">
        <v>2028090</v>
      </c>
    </row>
    <row r="43" spans="1:25" ht="16.05" customHeight="1" x14ac:dyDescent="0.3">
      <c r="A43" s="7">
        <v>2928</v>
      </c>
      <c r="B43" s="7">
        <v>42</v>
      </c>
      <c r="C43" s="7">
        <v>2022</v>
      </c>
      <c r="D43" s="8" t="s">
        <v>25</v>
      </c>
      <c r="E43" s="9">
        <v>2047</v>
      </c>
      <c r="F43" s="10">
        <v>82643445.989999995</v>
      </c>
      <c r="G43" s="10">
        <v>22388109.52</v>
      </c>
      <c r="H43" s="11">
        <v>27.09</v>
      </c>
      <c r="I43" s="11">
        <v>12.99</v>
      </c>
      <c r="J43" s="10">
        <v>13772.89</v>
      </c>
      <c r="K43" s="10">
        <v>16423.84</v>
      </c>
      <c r="L43" s="10">
        <v>82594493.090000004</v>
      </c>
      <c r="M43" s="10">
        <v>82623598.769999996</v>
      </c>
      <c r="N43" s="10">
        <v>48952.9</v>
      </c>
      <c r="O43" s="10">
        <v>82603473.599999994</v>
      </c>
      <c r="P43" s="10">
        <v>82594833.799999997</v>
      </c>
      <c r="Q43" s="10">
        <v>8639.7999999999993</v>
      </c>
      <c r="R43" s="10">
        <v>10735383.630000001</v>
      </c>
      <c r="S43" s="10">
        <v>11652725.880000001</v>
      </c>
      <c r="T43" s="10">
        <v>51469.15</v>
      </c>
      <c r="U43" s="10">
        <v>15139.97</v>
      </c>
      <c r="V43" s="10">
        <v>5424.75</v>
      </c>
      <c r="W43" s="10">
        <v>3555.76</v>
      </c>
      <c r="X43" s="10">
        <v>4268.97</v>
      </c>
      <c r="Y43" s="9">
        <v>3795455</v>
      </c>
    </row>
    <row r="44" spans="1:25" ht="16.05" customHeight="1" x14ac:dyDescent="0.3">
      <c r="A44" s="2">
        <v>2998</v>
      </c>
      <c r="B44" s="2">
        <v>43</v>
      </c>
      <c r="C44" s="2">
        <v>2022</v>
      </c>
      <c r="D44" s="3" t="s">
        <v>25</v>
      </c>
      <c r="E44" s="4">
        <v>6678</v>
      </c>
      <c r="F44" s="5">
        <v>79995455.230000004</v>
      </c>
      <c r="G44" s="5">
        <v>6519629.5999999996</v>
      </c>
      <c r="H44" s="6">
        <v>8.15</v>
      </c>
      <c r="I44" s="6">
        <v>13.54</v>
      </c>
      <c r="J44" s="5">
        <v>8086.98</v>
      </c>
      <c r="K44" s="5">
        <v>8054.77</v>
      </c>
      <c r="L44" s="5">
        <v>79957550.549999997</v>
      </c>
      <c r="M44" s="5">
        <v>79972944.629999995</v>
      </c>
      <c r="N44" s="5">
        <v>37904.68</v>
      </c>
      <c r="O44" s="5">
        <v>79975154.049999997</v>
      </c>
      <c r="P44" s="5">
        <v>79961810.719999999</v>
      </c>
      <c r="Q44" s="5">
        <v>13343.33</v>
      </c>
      <c r="R44" s="5">
        <v>10831384.640000001</v>
      </c>
      <c r="S44" s="5">
        <v>-4311755.04</v>
      </c>
      <c r="T44" s="5">
        <v>13631.28</v>
      </c>
      <c r="U44" s="5">
        <v>29245.05</v>
      </c>
      <c r="V44" s="5">
        <v>10877.85</v>
      </c>
      <c r="W44" s="5">
        <v>6725.65</v>
      </c>
      <c r="X44" s="5">
        <v>1782.31</v>
      </c>
      <c r="Y44" s="4">
        <v>1024468</v>
      </c>
    </row>
    <row r="45" spans="1:25" ht="16.05" customHeight="1" x14ac:dyDescent="0.3">
      <c r="A45" s="7">
        <v>3068</v>
      </c>
      <c r="B45" s="7">
        <v>44</v>
      </c>
      <c r="C45" s="7">
        <v>2022</v>
      </c>
      <c r="D45" s="8" t="s">
        <v>25</v>
      </c>
      <c r="E45" s="9">
        <v>5135</v>
      </c>
      <c r="F45" s="10">
        <v>85690986.870000005</v>
      </c>
      <c r="G45" s="10">
        <v>21534145</v>
      </c>
      <c r="H45" s="11">
        <v>25.13</v>
      </c>
      <c r="I45" s="11">
        <v>15.55</v>
      </c>
      <c r="J45" s="10">
        <v>3411.02</v>
      </c>
      <c r="K45" s="10">
        <v>4345.9799999999996</v>
      </c>
      <c r="L45" s="10">
        <v>85608511.989999995</v>
      </c>
      <c r="M45" s="10">
        <v>85668899.599999994</v>
      </c>
      <c r="N45" s="10">
        <v>82474.880000000005</v>
      </c>
      <c r="O45" s="10">
        <v>85612849.170000002</v>
      </c>
      <c r="P45" s="10">
        <v>85603076.310000002</v>
      </c>
      <c r="Q45" s="10">
        <v>9772.86</v>
      </c>
      <c r="R45" s="10">
        <v>13324948.460000001</v>
      </c>
      <c r="S45" s="10">
        <v>8209196.54</v>
      </c>
      <c r="T45" s="10">
        <v>32041.08</v>
      </c>
      <c r="U45" s="10">
        <v>40007.72</v>
      </c>
      <c r="V45" s="10">
        <v>1208.94</v>
      </c>
      <c r="W45" s="10">
        <v>3128.24</v>
      </c>
      <c r="X45" s="10">
        <v>1824.34</v>
      </c>
      <c r="Y45" s="9">
        <v>1376885</v>
      </c>
    </row>
    <row r="46" spans="1:25" ht="16.05" customHeight="1" x14ac:dyDescent="0.3">
      <c r="A46" s="2">
        <v>3138</v>
      </c>
      <c r="B46" s="2">
        <v>45</v>
      </c>
      <c r="C46" s="2">
        <v>2022</v>
      </c>
      <c r="D46" s="3" t="s">
        <v>25</v>
      </c>
      <c r="E46" s="4">
        <v>4173</v>
      </c>
      <c r="F46" s="5">
        <v>168034333.5</v>
      </c>
      <c r="G46" s="5">
        <v>48360281.189999998</v>
      </c>
      <c r="H46" s="6">
        <v>28.78</v>
      </c>
      <c r="I46" s="6">
        <v>5.0999999999999996</v>
      </c>
      <c r="J46" s="5">
        <v>6308.1</v>
      </c>
      <c r="K46" s="5">
        <v>8555.5</v>
      </c>
      <c r="L46" s="5">
        <v>167936695.5</v>
      </c>
      <c r="M46" s="5">
        <v>168010901.69999999</v>
      </c>
      <c r="N46" s="5">
        <v>97638.06</v>
      </c>
      <c r="O46" s="5">
        <v>167948919.09999999</v>
      </c>
      <c r="P46" s="5">
        <v>167939958.30000001</v>
      </c>
      <c r="Q46" s="5">
        <v>8960.77</v>
      </c>
      <c r="R46" s="5">
        <v>8569751.0099999998</v>
      </c>
      <c r="S46" s="5">
        <v>39790530.18</v>
      </c>
      <c r="T46" s="5">
        <v>105042.48</v>
      </c>
      <c r="U46" s="5">
        <v>40320.9</v>
      </c>
      <c r="V46" s="5">
        <v>7703.91</v>
      </c>
      <c r="W46" s="5">
        <v>4519.75</v>
      </c>
      <c r="X46" s="5">
        <v>3283.81</v>
      </c>
      <c r="Y46" s="4">
        <v>4775622</v>
      </c>
    </row>
    <row r="47" spans="1:25" ht="16.05" customHeight="1" x14ac:dyDescent="0.3">
      <c r="A47" s="7">
        <v>3208</v>
      </c>
      <c r="B47" s="7">
        <v>46</v>
      </c>
      <c r="C47" s="7">
        <v>2022</v>
      </c>
      <c r="D47" s="8" t="s">
        <v>25</v>
      </c>
      <c r="E47" s="9">
        <v>899</v>
      </c>
      <c r="F47" s="10">
        <v>16772827.27</v>
      </c>
      <c r="G47" s="10">
        <v>1516263.58</v>
      </c>
      <c r="H47" s="11">
        <v>9.0399999999999991</v>
      </c>
      <c r="I47" s="11">
        <v>15.56</v>
      </c>
      <c r="J47" s="10">
        <v>3395.93</v>
      </c>
      <c r="K47" s="10">
        <v>7759.82</v>
      </c>
      <c r="L47" s="10">
        <v>16714505.51</v>
      </c>
      <c r="M47" s="10">
        <v>16760990.470000001</v>
      </c>
      <c r="N47" s="10">
        <v>58321.760000000002</v>
      </c>
      <c r="O47" s="10">
        <v>16726602.699999999</v>
      </c>
      <c r="P47" s="10">
        <v>16718176.41</v>
      </c>
      <c r="Q47" s="10">
        <v>8426.2900000000009</v>
      </c>
      <c r="R47" s="10">
        <v>2609851.92</v>
      </c>
      <c r="S47" s="10">
        <v>-1093588.3400000001</v>
      </c>
      <c r="T47" s="10">
        <v>36918.239999999998</v>
      </c>
      <c r="U47" s="10">
        <v>47125.35</v>
      </c>
      <c r="V47" s="10">
        <v>8644.83</v>
      </c>
      <c r="W47" s="10">
        <v>3452.36</v>
      </c>
      <c r="X47" s="10">
        <v>1541.24</v>
      </c>
      <c r="Y47" s="9">
        <v>3578815</v>
      </c>
    </row>
    <row r="48" spans="1:25" ht="16.05" customHeight="1" x14ac:dyDescent="0.3">
      <c r="A48" s="2">
        <v>3278</v>
      </c>
      <c r="B48" s="2">
        <v>47</v>
      </c>
      <c r="C48" s="2">
        <v>2022</v>
      </c>
      <c r="D48" s="3" t="s">
        <v>25</v>
      </c>
      <c r="E48" s="4">
        <v>5580</v>
      </c>
      <c r="F48" s="5">
        <v>67478334.530000001</v>
      </c>
      <c r="G48" s="5">
        <v>17024783.800000001</v>
      </c>
      <c r="H48" s="6">
        <v>25.23</v>
      </c>
      <c r="I48" s="6">
        <v>11.27</v>
      </c>
      <c r="J48" s="5">
        <v>3098.72</v>
      </c>
      <c r="K48" s="5">
        <v>17481.63</v>
      </c>
      <c r="L48" s="5">
        <v>67402385.069999993</v>
      </c>
      <c r="M48" s="5">
        <v>67460002.230000004</v>
      </c>
      <c r="N48" s="5">
        <v>75949.460000000006</v>
      </c>
      <c r="O48" s="5">
        <v>67406739.159999996</v>
      </c>
      <c r="P48" s="5">
        <v>67398191.790000007</v>
      </c>
      <c r="Q48" s="5">
        <v>8547.3700000000008</v>
      </c>
      <c r="R48" s="5">
        <v>7604808.2999999998</v>
      </c>
      <c r="S48" s="5">
        <v>9419975.5</v>
      </c>
      <c r="T48" s="5">
        <v>111026.74</v>
      </c>
      <c r="U48" s="5">
        <v>32646.89</v>
      </c>
      <c r="V48" s="5">
        <v>3630.82</v>
      </c>
      <c r="W48" s="5">
        <v>723.27</v>
      </c>
      <c r="X48" s="5">
        <v>4781.8100000000004</v>
      </c>
      <c r="Y48" s="4">
        <v>4871983</v>
      </c>
    </row>
    <row r="49" spans="1:25" ht="16.05" customHeight="1" x14ac:dyDescent="0.3">
      <c r="A49" s="7">
        <v>3348</v>
      </c>
      <c r="B49" s="7">
        <v>48</v>
      </c>
      <c r="C49" s="7">
        <v>2022</v>
      </c>
      <c r="D49" s="8" t="s">
        <v>25</v>
      </c>
      <c r="E49" s="9">
        <v>4692</v>
      </c>
      <c r="F49" s="10">
        <v>217543603</v>
      </c>
      <c r="G49" s="10">
        <v>43399948.799999997</v>
      </c>
      <c r="H49" s="11">
        <v>19.95</v>
      </c>
      <c r="I49" s="11">
        <v>10.59</v>
      </c>
      <c r="J49" s="10">
        <v>8989.69</v>
      </c>
      <c r="K49" s="10">
        <v>6210.11</v>
      </c>
      <c r="L49" s="10">
        <v>217504026.09999999</v>
      </c>
      <c r="M49" s="10">
        <v>217536587.80000001</v>
      </c>
      <c r="N49" s="10">
        <v>39576.92</v>
      </c>
      <c r="O49" s="10">
        <v>217518191.40000001</v>
      </c>
      <c r="P49" s="10">
        <v>217504709</v>
      </c>
      <c r="Q49" s="10">
        <v>13482.44</v>
      </c>
      <c r="R49" s="10">
        <v>23037867.559999999</v>
      </c>
      <c r="S49" s="10">
        <v>20362081.239999998</v>
      </c>
      <c r="T49" s="10">
        <v>81801.75</v>
      </c>
      <c r="U49" s="10">
        <v>25728.5</v>
      </c>
      <c r="V49" s="10">
        <v>9476.31</v>
      </c>
      <c r="W49" s="10">
        <v>4689</v>
      </c>
      <c r="X49" s="10">
        <v>3681.82</v>
      </c>
      <c r="Y49" s="9">
        <v>2497843</v>
      </c>
    </row>
    <row r="50" spans="1:25" ht="16.05" customHeight="1" x14ac:dyDescent="0.3">
      <c r="A50" s="2">
        <v>3418</v>
      </c>
      <c r="B50" s="2">
        <v>49</v>
      </c>
      <c r="C50" s="2">
        <v>2022</v>
      </c>
      <c r="D50" s="3" t="s">
        <v>25</v>
      </c>
      <c r="E50" s="4">
        <v>4382</v>
      </c>
      <c r="F50" s="5">
        <v>278491727.30000001</v>
      </c>
      <c r="G50" s="5">
        <v>48401862.200000003</v>
      </c>
      <c r="H50" s="6">
        <v>17.38</v>
      </c>
      <c r="I50" s="6">
        <v>12.37</v>
      </c>
      <c r="J50" s="5">
        <v>10400.870000000001</v>
      </c>
      <c r="K50" s="5">
        <v>6306.13</v>
      </c>
      <c r="L50" s="5">
        <v>278393552.69999999</v>
      </c>
      <c r="M50" s="5">
        <v>278484022.89999998</v>
      </c>
      <c r="N50" s="5">
        <v>98174.55</v>
      </c>
      <c r="O50" s="5">
        <v>278397797.80000001</v>
      </c>
      <c r="P50" s="5">
        <v>278385580.69999999</v>
      </c>
      <c r="Q50" s="5">
        <v>12217.16</v>
      </c>
      <c r="R50" s="5">
        <v>34449426.659999996</v>
      </c>
      <c r="S50" s="5">
        <v>13952435.539999999</v>
      </c>
      <c r="T50" s="5">
        <v>14551.04</v>
      </c>
      <c r="U50" s="5">
        <v>23735.33</v>
      </c>
      <c r="V50" s="5">
        <v>1542.61</v>
      </c>
      <c r="W50" s="5">
        <v>2702.47</v>
      </c>
      <c r="X50" s="5">
        <v>3103.33</v>
      </c>
      <c r="Y50" s="4">
        <v>4649866</v>
      </c>
    </row>
    <row r="51" spans="1:25" ht="16.05" customHeight="1" x14ac:dyDescent="0.3">
      <c r="A51" s="7">
        <v>3488</v>
      </c>
      <c r="B51" s="7">
        <v>50</v>
      </c>
      <c r="C51" s="7">
        <v>2022</v>
      </c>
      <c r="D51" s="8" t="s">
        <v>25</v>
      </c>
      <c r="E51" s="9">
        <v>6929</v>
      </c>
      <c r="F51" s="10">
        <v>472691612.19999999</v>
      </c>
      <c r="G51" s="10">
        <v>53886843.789999999</v>
      </c>
      <c r="H51" s="11">
        <v>11.4</v>
      </c>
      <c r="I51" s="11">
        <v>14.65</v>
      </c>
      <c r="J51" s="10">
        <v>7323.59</v>
      </c>
      <c r="K51" s="10">
        <v>10178.24</v>
      </c>
      <c r="L51" s="10">
        <v>472612971.30000001</v>
      </c>
      <c r="M51" s="10">
        <v>472673290</v>
      </c>
      <c r="N51" s="10">
        <v>78640.97</v>
      </c>
      <c r="O51" s="10">
        <v>472627144.19999999</v>
      </c>
      <c r="P51" s="10">
        <v>472619872.80000001</v>
      </c>
      <c r="Q51" s="10">
        <v>7271.37</v>
      </c>
      <c r="R51" s="10">
        <v>69249321.189999998</v>
      </c>
      <c r="S51" s="10">
        <v>-15362477.4</v>
      </c>
      <c r="T51" s="10">
        <v>99327.49</v>
      </c>
      <c r="U51" s="10">
        <v>22056.32</v>
      </c>
      <c r="V51" s="10">
        <v>11135.72</v>
      </c>
      <c r="W51" s="10">
        <v>3037.22</v>
      </c>
      <c r="X51" s="10">
        <v>3222.93</v>
      </c>
      <c r="Y51" s="9">
        <v>3418141</v>
      </c>
    </row>
    <row r="52" spans="1:25" ht="16.05" customHeight="1" x14ac:dyDescent="0.3">
      <c r="A52" s="2">
        <v>48</v>
      </c>
      <c r="B52" s="2">
        <v>1</v>
      </c>
      <c r="C52" s="2">
        <v>2022</v>
      </c>
      <c r="D52" s="3" t="s">
        <v>26</v>
      </c>
      <c r="E52" s="4">
        <v>5715</v>
      </c>
      <c r="F52" s="5">
        <v>186061270.69999999</v>
      </c>
      <c r="G52" s="5">
        <v>25062453.16</v>
      </c>
      <c r="H52" s="6">
        <v>13.47</v>
      </c>
      <c r="I52" s="6">
        <v>9.89</v>
      </c>
      <c r="J52" s="5">
        <v>2290.63</v>
      </c>
      <c r="K52" s="5">
        <v>19570.28</v>
      </c>
      <c r="L52" s="5">
        <v>185992885.90000001</v>
      </c>
      <c r="M52" s="5">
        <v>186049201.90000001</v>
      </c>
      <c r="N52" s="5">
        <v>68384.789999999994</v>
      </c>
      <c r="O52" s="5">
        <v>186000567.59999999</v>
      </c>
      <c r="P52" s="5">
        <v>185997895</v>
      </c>
      <c r="Q52" s="5">
        <v>2672.62</v>
      </c>
      <c r="R52" s="5">
        <v>18401459.670000002</v>
      </c>
      <c r="S52" s="5">
        <v>6660993.4900000002</v>
      </c>
      <c r="T52" s="5">
        <v>30095.63</v>
      </c>
      <c r="U52" s="5">
        <v>32964.57</v>
      </c>
      <c r="V52" s="5">
        <v>6099.78</v>
      </c>
      <c r="W52" s="5">
        <v>1581.94</v>
      </c>
      <c r="X52" s="5">
        <v>2152.87</v>
      </c>
      <c r="Y52" s="4">
        <v>4947648</v>
      </c>
    </row>
    <row r="53" spans="1:25" ht="16.05" customHeight="1" x14ac:dyDescent="0.3">
      <c r="A53" s="7">
        <v>118</v>
      </c>
      <c r="B53" s="7">
        <v>2</v>
      </c>
      <c r="C53" s="7">
        <v>2022</v>
      </c>
      <c r="D53" s="8" t="s">
        <v>26</v>
      </c>
      <c r="E53" s="9">
        <v>5996</v>
      </c>
      <c r="F53" s="10">
        <v>289532723.80000001</v>
      </c>
      <c r="G53" s="10">
        <v>80374284.109999999</v>
      </c>
      <c r="H53" s="11">
        <v>27.76</v>
      </c>
      <c r="I53" s="11">
        <v>5.76</v>
      </c>
      <c r="J53" s="10">
        <v>6997.87</v>
      </c>
      <c r="K53" s="10">
        <v>2004.2</v>
      </c>
      <c r="L53" s="10">
        <v>289486337.69999999</v>
      </c>
      <c r="M53" s="10">
        <v>289521292.89999998</v>
      </c>
      <c r="N53" s="10">
        <v>46386.03</v>
      </c>
      <c r="O53" s="10">
        <v>289497480.60000002</v>
      </c>
      <c r="P53" s="10">
        <v>289496150.69999999</v>
      </c>
      <c r="Q53" s="10">
        <v>1329.86</v>
      </c>
      <c r="R53" s="10">
        <v>16677084.890000001</v>
      </c>
      <c r="S53" s="10">
        <v>63697199.229999997</v>
      </c>
      <c r="T53" s="10">
        <v>115148.23</v>
      </c>
      <c r="U53" s="10">
        <v>31292.92</v>
      </c>
      <c r="V53" s="10">
        <v>7106.01</v>
      </c>
      <c r="W53" s="10">
        <v>4036.87</v>
      </c>
      <c r="X53" s="10">
        <v>4938.83</v>
      </c>
      <c r="Y53" s="9">
        <v>4279781</v>
      </c>
    </row>
    <row r="54" spans="1:25" ht="16.05" customHeight="1" x14ac:dyDescent="0.3">
      <c r="A54" s="2">
        <v>188</v>
      </c>
      <c r="B54" s="2">
        <v>3</v>
      </c>
      <c r="C54" s="2">
        <v>2022</v>
      </c>
      <c r="D54" s="3" t="s">
        <v>26</v>
      </c>
      <c r="E54" s="4">
        <v>5071</v>
      </c>
      <c r="F54" s="5">
        <v>138231135.5</v>
      </c>
      <c r="G54" s="5">
        <v>21646995.82</v>
      </c>
      <c r="H54" s="6">
        <v>15.66</v>
      </c>
      <c r="I54" s="6">
        <v>7.77</v>
      </c>
      <c r="J54" s="5">
        <v>13423.32</v>
      </c>
      <c r="K54" s="5">
        <v>7712.37</v>
      </c>
      <c r="L54" s="5">
        <v>138210952</v>
      </c>
      <c r="M54" s="5">
        <v>138212584.09999999</v>
      </c>
      <c r="N54" s="5">
        <v>20183.5</v>
      </c>
      <c r="O54" s="5">
        <v>138221178.30000001</v>
      </c>
      <c r="P54" s="5">
        <v>138211593.30000001</v>
      </c>
      <c r="Q54" s="5">
        <v>9584.93</v>
      </c>
      <c r="R54" s="5">
        <v>10740559.23</v>
      </c>
      <c r="S54" s="5">
        <v>10906436.59</v>
      </c>
      <c r="T54" s="5">
        <v>75084.179999999993</v>
      </c>
      <c r="U54" s="5">
        <v>26207.15</v>
      </c>
      <c r="V54" s="5">
        <v>2631.3</v>
      </c>
      <c r="W54" s="5">
        <v>7594.94</v>
      </c>
      <c r="X54" s="5">
        <v>2652.04</v>
      </c>
      <c r="Y54" s="4">
        <v>3937950</v>
      </c>
    </row>
    <row r="55" spans="1:25" ht="16.05" customHeight="1" x14ac:dyDescent="0.3">
      <c r="A55" s="7">
        <v>258</v>
      </c>
      <c r="B55" s="7">
        <v>4</v>
      </c>
      <c r="C55" s="7">
        <v>2022</v>
      </c>
      <c r="D55" s="8" t="s">
        <v>26</v>
      </c>
      <c r="E55" s="9">
        <v>4540</v>
      </c>
      <c r="F55" s="10">
        <v>232285302.5</v>
      </c>
      <c r="G55" s="10">
        <v>12241435.439999999</v>
      </c>
      <c r="H55" s="11">
        <v>5.27</v>
      </c>
      <c r="I55" s="11">
        <v>18.79</v>
      </c>
      <c r="J55" s="10">
        <v>14454.27</v>
      </c>
      <c r="K55" s="10">
        <v>10882.65</v>
      </c>
      <c r="L55" s="10">
        <v>232274977.40000001</v>
      </c>
      <c r="M55" s="10">
        <v>232259196.59999999</v>
      </c>
      <c r="N55" s="10">
        <v>10325.129999999999</v>
      </c>
      <c r="O55" s="10">
        <v>232286238</v>
      </c>
      <c r="P55" s="10">
        <v>232282905.80000001</v>
      </c>
      <c r="Q55" s="10">
        <v>3332.21</v>
      </c>
      <c r="R55" s="10">
        <v>43646408.350000001</v>
      </c>
      <c r="S55" s="10">
        <v>-31404972.899999999</v>
      </c>
      <c r="T55" s="10">
        <v>95771.07</v>
      </c>
      <c r="U55" s="10">
        <v>19421.82</v>
      </c>
      <c r="V55" s="10">
        <v>4459.96</v>
      </c>
      <c r="W55" s="10">
        <v>6800.63</v>
      </c>
      <c r="X55" s="10">
        <v>1098.3</v>
      </c>
      <c r="Y55" s="9">
        <v>4150583</v>
      </c>
    </row>
    <row r="56" spans="1:25" ht="16.05" customHeight="1" x14ac:dyDescent="0.3">
      <c r="A56" s="2">
        <v>328</v>
      </c>
      <c r="B56" s="2">
        <v>5</v>
      </c>
      <c r="C56" s="2">
        <v>2022</v>
      </c>
      <c r="D56" s="3" t="s">
        <v>26</v>
      </c>
      <c r="E56" s="4">
        <v>6790</v>
      </c>
      <c r="F56" s="5">
        <v>170454034.80000001</v>
      </c>
      <c r="G56" s="5">
        <v>28823777.289999999</v>
      </c>
      <c r="H56" s="6">
        <v>16.91</v>
      </c>
      <c r="I56" s="6">
        <v>11.44</v>
      </c>
      <c r="J56" s="5">
        <v>7555.64</v>
      </c>
      <c r="K56" s="5">
        <v>8107.84</v>
      </c>
      <c r="L56" s="5">
        <v>170407971.40000001</v>
      </c>
      <c r="M56" s="5">
        <v>170448212.19999999</v>
      </c>
      <c r="N56" s="5">
        <v>46063.46</v>
      </c>
      <c r="O56" s="5">
        <v>170418486.80000001</v>
      </c>
      <c r="P56" s="5">
        <v>170406285</v>
      </c>
      <c r="Q56" s="5">
        <v>12201.82</v>
      </c>
      <c r="R56" s="5">
        <v>19499941.579999998</v>
      </c>
      <c r="S56" s="5">
        <v>9323835.6999999993</v>
      </c>
      <c r="T56" s="5">
        <v>87547.43</v>
      </c>
      <c r="U56" s="5">
        <v>8272.26</v>
      </c>
      <c r="V56" s="5">
        <v>9973.27</v>
      </c>
      <c r="W56" s="5">
        <v>542.19000000000005</v>
      </c>
      <c r="X56" s="5">
        <v>1177.53</v>
      </c>
      <c r="Y56" s="4">
        <v>1668964</v>
      </c>
    </row>
    <row r="57" spans="1:25" ht="16.05" customHeight="1" x14ac:dyDescent="0.3">
      <c r="A57" s="7">
        <v>398</v>
      </c>
      <c r="B57" s="7">
        <v>6</v>
      </c>
      <c r="C57" s="7">
        <v>2022</v>
      </c>
      <c r="D57" s="8" t="s">
        <v>26</v>
      </c>
      <c r="E57" s="9">
        <v>6313</v>
      </c>
      <c r="F57" s="10">
        <v>65142038.329999998</v>
      </c>
      <c r="G57" s="10">
        <v>6761743.5800000001</v>
      </c>
      <c r="H57" s="11">
        <v>10.38</v>
      </c>
      <c r="I57" s="11">
        <v>7.14</v>
      </c>
      <c r="J57" s="10">
        <v>13263.73</v>
      </c>
      <c r="K57" s="10">
        <v>14498.96</v>
      </c>
      <c r="L57" s="10">
        <v>65042806.159999996</v>
      </c>
      <c r="M57" s="10">
        <v>65129547.780000001</v>
      </c>
      <c r="N57" s="10">
        <v>99232.17</v>
      </c>
      <c r="O57" s="10">
        <v>65055205.539999999</v>
      </c>
      <c r="P57" s="10">
        <v>65053004.340000004</v>
      </c>
      <c r="Q57" s="10">
        <v>2201.1999999999998</v>
      </c>
      <c r="R57" s="10">
        <v>4651141.54</v>
      </c>
      <c r="S57" s="10">
        <v>2110602.04</v>
      </c>
      <c r="T57" s="10">
        <v>85995.7</v>
      </c>
      <c r="U57" s="10">
        <v>22230.18</v>
      </c>
      <c r="V57" s="10">
        <v>9837.1299999999992</v>
      </c>
      <c r="W57" s="10">
        <v>2562.25</v>
      </c>
      <c r="X57" s="10">
        <v>3370.31</v>
      </c>
      <c r="Y57" s="9">
        <v>1780801</v>
      </c>
    </row>
    <row r="58" spans="1:25" ht="16.05" customHeight="1" x14ac:dyDescent="0.3">
      <c r="A58" s="2">
        <v>468</v>
      </c>
      <c r="B58" s="2">
        <v>7</v>
      </c>
      <c r="C58" s="2">
        <v>2022</v>
      </c>
      <c r="D58" s="3" t="s">
        <v>26</v>
      </c>
      <c r="E58" s="4">
        <v>1563</v>
      </c>
      <c r="F58" s="5">
        <v>90929395.409999996</v>
      </c>
      <c r="G58" s="5">
        <v>6792425.8399999999</v>
      </c>
      <c r="H58" s="6">
        <v>7.47</v>
      </c>
      <c r="I58" s="6">
        <v>15.81</v>
      </c>
      <c r="J58" s="5">
        <v>2171.91</v>
      </c>
      <c r="K58" s="5">
        <v>8851</v>
      </c>
      <c r="L58" s="5">
        <v>90829459.569999993</v>
      </c>
      <c r="M58" s="5">
        <v>90920278.939999998</v>
      </c>
      <c r="N58" s="5">
        <v>99935.84</v>
      </c>
      <c r="O58" s="5">
        <v>90845043.760000005</v>
      </c>
      <c r="P58" s="5">
        <v>90830731.299999997</v>
      </c>
      <c r="Q58" s="5">
        <v>14312.46</v>
      </c>
      <c r="R58" s="5">
        <v>14375937.42</v>
      </c>
      <c r="S58" s="5">
        <v>-7583511.5800000001</v>
      </c>
      <c r="T58" s="5">
        <v>88023.77</v>
      </c>
      <c r="U58" s="5">
        <v>39926.67</v>
      </c>
      <c r="V58" s="5">
        <v>8897.8799999999992</v>
      </c>
      <c r="W58" s="5">
        <v>6686.31</v>
      </c>
      <c r="X58" s="5">
        <v>2815.6</v>
      </c>
      <c r="Y58" s="4">
        <v>4348381</v>
      </c>
    </row>
    <row r="59" spans="1:25" ht="16.05" customHeight="1" x14ac:dyDescent="0.3">
      <c r="A59" s="7">
        <v>538</v>
      </c>
      <c r="B59" s="7">
        <v>8</v>
      </c>
      <c r="C59" s="7">
        <v>2022</v>
      </c>
      <c r="D59" s="8" t="s">
        <v>26</v>
      </c>
      <c r="E59" s="9">
        <v>1016</v>
      </c>
      <c r="F59" s="10">
        <v>39418768.450000003</v>
      </c>
      <c r="G59" s="10">
        <v>9062374.8699999992</v>
      </c>
      <c r="H59" s="11">
        <v>22.99</v>
      </c>
      <c r="I59" s="11">
        <v>17.48</v>
      </c>
      <c r="J59" s="10">
        <v>3724.88</v>
      </c>
      <c r="K59" s="10">
        <v>16642.3</v>
      </c>
      <c r="L59" s="10">
        <v>39320273.649999999</v>
      </c>
      <c r="M59" s="10">
        <v>39408818.390000001</v>
      </c>
      <c r="N59" s="10">
        <v>98494.8</v>
      </c>
      <c r="O59" s="10">
        <v>39329147.890000001</v>
      </c>
      <c r="P59" s="10">
        <v>39321813.590000004</v>
      </c>
      <c r="Q59" s="10">
        <v>7334.3</v>
      </c>
      <c r="R59" s="10">
        <v>6890400.7300000004</v>
      </c>
      <c r="S59" s="10">
        <v>2171974.14</v>
      </c>
      <c r="T59" s="10">
        <v>26920.89</v>
      </c>
      <c r="U59" s="10">
        <v>59816.56</v>
      </c>
      <c r="V59" s="10">
        <v>3751.77</v>
      </c>
      <c r="W59" s="10">
        <v>5122.47</v>
      </c>
      <c r="X59" s="10">
        <v>3712.39</v>
      </c>
      <c r="Y59" s="9">
        <v>1298643</v>
      </c>
    </row>
    <row r="60" spans="1:25" ht="16.05" customHeight="1" x14ac:dyDescent="0.3">
      <c r="A60" s="2">
        <v>608</v>
      </c>
      <c r="B60" s="2">
        <v>9</v>
      </c>
      <c r="C60" s="2">
        <v>2022</v>
      </c>
      <c r="D60" s="3" t="s">
        <v>26</v>
      </c>
      <c r="E60" s="4">
        <v>1323</v>
      </c>
      <c r="F60" s="5">
        <v>9304776.3599999994</v>
      </c>
      <c r="G60" s="5">
        <v>1929810.62</v>
      </c>
      <c r="H60" s="6">
        <v>20.74</v>
      </c>
      <c r="I60" s="6">
        <v>18.22</v>
      </c>
      <c r="J60" s="5">
        <v>10783.62</v>
      </c>
      <c r="K60" s="5">
        <v>8279.65</v>
      </c>
      <c r="L60" s="5">
        <v>9239647.6899999995</v>
      </c>
      <c r="M60" s="5">
        <v>9299295.4100000001</v>
      </c>
      <c r="N60" s="5">
        <v>65128.67</v>
      </c>
      <c r="O60" s="5">
        <v>9250324.1099999994</v>
      </c>
      <c r="P60" s="5">
        <v>9238966.4900000002</v>
      </c>
      <c r="Q60" s="5">
        <v>11357.62</v>
      </c>
      <c r="R60" s="5">
        <v>1695330.25</v>
      </c>
      <c r="S60" s="5">
        <v>234480.36</v>
      </c>
      <c r="T60" s="5">
        <v>62669.06</v>
      </c>
      <c r="U60" s="5">
        <v>55320.73</v>
      </c>
      <c r="V60" s="5">
        <v>3791.69</v>
      </c>
      <c r="W60" s="5">
        <v>6884.73</v>
      </c>
      <c r="X60" s="5">
        <v>4327.6400000000003</v>
      </c>
      <c r="Y60" s="4">
        <v>3814836</v>
      </c>
    </row>
    <row r="61" spans="1:25" ht="16.05" customHeight="1" x14ac:dyDescent="0.3">
      <c r="A61" s="7">
        <v>678</v>
      </c>
      <c r="B61" s="7">
        <v>10</v>
      </c>
      <c r="C61" s="7">
        <v>2022</v>
      </c>
      <c r="D61" s="8" t="s">
        <v>26</v>
      </c>
      <c r="E61" s="9">
        <v>1087</v>
      </c>
      <c r="F61" s="10">
        <v>21067252.16</v>
      </c>
      <c r="G61" s="10">
        <v>2060377.26</v>
      </c>
      <c r="H61" s="11">
        <v>9.7799999999999994</v>
      </c>
      <c r="I61" s="11">
        <v>9.49</v>
      </c>
      <c r="J61" s="10">
        <v>3901.14</v>
      </c>
      <c r="K61" s="10">
        <v>18583.509999999998</v>
      </c>
      <c r="L61" s="10">
        <v>21033149.82</v>
      </c>
      <c r="M61" s="10">
        <v>21053042.960000001</v>
      </c>
      <c r="N61" s="10">
        <v>34102.339999999997</v>
      </c>
      <c r="O61" s="10">
        <v>21044413.379999999</v>
      </c>
      <c r="P61" s="10">
        <v>21040840.609999999</v>
      </c>
      <c r="Q61" s="10">
        <v>3572.77</v>
      </c>
      <c r="R61" s="10">
        <v>1999282.23</v>
      </c>
      <c r="S61" s="10">
        <v>61095.03</v>
      </c>
      <c r="T61" s="10">
        <v>94877.73</v>
      </c>
      <c r="U61" s="10">
        <v>34318.28</v>
      </c>
      <c r="V61" s="10">
        <v>6760.65</v>
      </c>
      <c r="W61" s="10">
        <v>4502.91</v>
      </c>
      <c r="X61" s="10">
        <v>4993.62</v>
      </c>
      <c r="Y61" s="9">
        <v>2527056</v>
      </c>
    </row>
    <row r="62" spans="1:25" ht="16.05" customHeight="1" x14ac:dyDescent="0.3">
      <c r="A62" s="2">
        <v>748</v>
      </c>
      <c r="B62" s="2">
        <v>11</v>
      </c>
      <c r="C62" s="2">
        <v>2022</v>
      </c>
      <c r="D62" s="3" t="s">
        <v>26</v>
      </c>
      <c r="E62" s="4">
        <v>748</v>
      </c>
      <c r="F62" s="5">
        <v>18791125.379999999</v>
      </c>
      <c r="G62" s="5">
        <v>4476046.07</v>
      </c>
      <c r="H62" s="6">
        <v>23.82</v>
      </c>
      <c r="I62" s="6">
        <v>6.85</v>
      </c>
      <c r="J62" s="5">
        <v>7858.62</v>
      </c>
      <c r="K62" s="5">
        <v>11692.41</v>
      </c>
      <c r="L62" s="5">
        <v>18704054.32</v>
      </c>
      <c r="M62" s="5">
        <v>18773824.859999999</v>
      </c>
      <c r="N62" s="5">
        <v>87071.06</v>
      </c>
      <c r="O62" s="5">
        <v>18720654.77</v>
      </c>
      <c r="P62" s="5">
        <v>18705747.890000001</v>
      </c>
      <c r="Q62" s="5">
        <v>14906.88</v>
      </c>
      <c r="R62" s="5">
        <v>1287192.0900000001</v>
      </c>
      <c r="S62" s="5">
        <v>3188853.98</v>
      </c>
      <c r="T62" s="5">
        <v>23631.97</v>
      </c>
      <c r="U62" s="5">
        <v>47693.04</v>
      </c>
      <c r="V62" s="5">
        <v>9408.08</v>
      </c>
      <c r="W62" s="5">
        <v>7192.37</v>
      </c>
      <c r="X62" s="5">
        <v>3109.93</v>
      </c>
      <c r="Y62" s="4">
        <v>4485875</v>
      </c>
    </row>
    <row r="63" spans="1:25" ht="16.05" customHeight="1" x14ac:dyDescent="0.3">
      <c r="A63" s="7">
        <v>818</v>
      </c>
      <c r="B63" s="7">
        <v>12</v>
      </c>
      <c r="C63" s="7">
        <v>2022</v>
      </c>
      <c r="D63" s="8" t="s">
        <v>26</v>
      </c>
      <c r="E63" s="9">
        <v>491</v>
      </c>
      <c r="F63" s="10">
        <v>27730104.870000001</v>
      </c>
      <c r="G63" s="10">
        <v>5324180.1399999997</v>
      </c>
      <c r="H63" s="11">
        <v>19.2</v>
      </c>
      <c r="I63" s="11">
        <v>9.4</v>
      </c>
      <c r="J63" s="10">
        <v>4938.8100000000004</v>
      </c>
      <c r="K63" s="10">
        <v>8901.17</v>
      </c>
      <c r="L63" s="10">
        <v>27670457.59</v>
      </c>
      <c r="M63" s="10">
        <v>27725540.969999999</v>
      </c>
      <c r="N63" s="10">
        <v>59647.28</v>
      </c>
      <c r="O63" s="10">
        <v>27687313.870000001</v>
      </c>
      <c r="P63" s="10">
        <v>27682263.350000001</v>
      </c>
      <c r="Q63" s="10">
        <v>5050.5200000000004</v>
      </c>
      <c r="R63" s="10">
        <v>2606629.86</v>
      </c>
      <c r="S63" s="10">
        <v>2717550.28</v>
      </c>
      <c r="T63" s="10">
        <v>59937.84</v>
      </c>
      <c r="U63" s="10">
        <v>59215.65</v>
      </c>
      <c r="V63" s="10">
        <v>9601.2000000000007</v>
      </c>
      <c r="W63" s="10">
        <v>7255.08</v>
      </c>
      <c r="X63" s="10">
        <v>2889.2</v>
      </c>
      <c r="Y63" s="9">
        <v>2477841</v>
      </c>
    </row>
    <row r="64" spans="1:25" ht="16.05" customHeight="1" x14ac:dyDescent="0.3">
      <c r="A64" s="2">
        <v>888</v>
      </c>
      <c r="B64" s="2">
        <v>13</v>
      </c>
      <c r="C64" s="2">
        <v>2022</v>
      </c>
      <c r="D64" s="3" t="s">
        <v>26</v>
      </c>
      <c r="E64" s="4">
        <v>4807</v>
      </c>
      <c r="F64" s="5">
        <v>206496019.40000001</v>
      </c>
      <c r="G64" s="5">
        <v>54060657.880000003</v>
      </c>
      <c r="H64" s="6">
        <v>26.18</v>
      </c>
      <c r="I64" s="6">
        <v>15.49</v>
      </c>
      <c r="J64" s="5">
        <v>10060.65</v>
      </c>
      <c r="K64" s="5">
        <v>11491.84</v>
      </c>
      <c r="L64" s="5">
        <v>206483658</v>
      </c>
      <c r="M64" s="5">
        <v>206485937.80000001</v>
      </c>
      <c r="N64" s="5">
        <v>12361.45</v>
      </c>
      <c r="O64" s="5">
        <v>206493955</v>
      </c>
      <c r="P64" s="5">
        <v>206492043.90000001</v>
      </c>
      <c r="Q64" s="5">
        <v>1911.11</v>
      </c>
      <c r="R64" s="5">
        <v>31986233.41</v>
      </c>
      <c r="S64" s="5">
        <v>22074424.48</v>
      </c>
      <c r="T64" s="5">
        <v>86270.01</v>
      </c>
      <c r="U64" s="5">
        <v>16155.57</v>
      </c>
      <c r="V64" s="5">
        <v>7959.92</v>
      </c>
      <c r="W64" s="5">
        <v>2337.12</v>
      </c>
      <c r="X64" s="5">
        <v>2252.6799999999998</v>
      </c>
      <c r="Y64" s="4">
        <v>4120734</v>
      </c>
    </row>
    <row r="65" spans="1:25" ht="16.05" customHeight="1" x14ac:dyDescent="0.3">
      <c r="A65" s="7">
        <v>958</v>
      </c>
      <c r="B65" s="7">
        <v>14</v>
      </c>
      <c r="C65" s="7">
        <v>2022</v>
      </c>
      <c r="D65" s="8" t="s">
        <v>26</v>
      </c>
      <c r="E65" s="9">
        <v>1872</v>
      </c>
      <c r="F65" s="10">
        <v>34452809.450000003</v>
      </c>
      <c r="G65" s="10">
        <v>9719137.5399999991</v>
      </c>
      <c r="H65" s="11">
        <v>28.21</v>
      </c>
      <c r="I65" s="11">
        <v>10.130000000000001</v>
      </c>
      <c r="J65" s="10">
        <v>14287.68</v>
      </c>
      <c r="K65" s="10">
        <v>15556.33</v>
      </c>
      <c r="L65" s="10">
        <v>34439172.810000002</v>
      </c>
      <c r="M65" s="10">
        <v>34436394.890000001</v>
      </c>
      <c r="N65" s="10">
        <v>13636.64</v>
      </c>
      <c r="O65" s="10">
        <v>34452433.109999999</v>
      </c>
      <c r="P65" s="10">
        <v>34451185.869999997</v>
      </c>
      <c r="Q65" s="10">
        <v>1247.24</v>
      </c>
      <c r="R65" s="10">
        <v>3490069.6</v>
      </c>
      <c r="S65" s="10">
        <v>6229067.9500000002</v>
      </c>
      <c r="T65" s="10">
        <v>75419.16</v>
      </c>
      <c r="U65" s="10">
        <v>7403.59</v>
      </c>
      <c r="V65" s="10">
        <v>7747.5</v>
      </c>
      <c r="W65" s="10">
        <v>5512.8</v>
      </c>
      <c r="X65" s="10">
        <v>1622.42</v>
      </c>
      <c r="Y65" s="9">
        <v>1359315</v>
      </c>
    </row>
    <row r="66" spans="1:25" ht="16.05" customHeight="1" x14ac:dyDescent="0.3">
      <c r="A66" s="2">
        <v>1028</v>
      </c>
      <c r="B66" s="2">
        <v>15</v>
      </c>
      <c r="C66" s="2">
        <v>2022</v>
      </c>
      <c r="D66" s="3" t="s">
        <v>26</v>
      </c>
      <c r="E66" s="4">
        <v>5436</v>
      </c>
      <c r="F66" s="5">
        <v>29065655.530000001</v>
      </c>
      <c r="G66" s="5">
        <v>8039560.3200000003</v>
      </c>
      <c r="H66" s="6">
        <v>27.66</v>
      </c>
      <c r="I66" s="6">
        <v>17.37</v>
      </c>
      <c r="J66" s="5">
        <v>4628.8900000000003</v>
      </c>
      <c r="K66" s="5">
        <v>3658.37</v>
      </c>
      <c r="L66" s="5">
        <v>29045761.850000001</v>
      </c>
      <c r="M66" s="5">
        <v>29050566.699999999</v>
      </c>
      <c r="N66" s="5">
        <v>19893.68</v>
      </c>
      <c r="O66" s="5">
        <v>29053597.100000001</v>
      </c>
      <c r="P66" s="5">
        <v>29049966.440000001</v>
      </c>
      <c r="Q66" s="5">
        <v>3630.66</v>
      </c>
      <c r="R66" s="5">
        <v>5048704.3600000003</v>
      </c>
      <c r="S66" s="5">
        <v>2990855.95</v>
      </c>
      <c r="T66" s="5">
        <v>78438.28</v>
      </c>
      <c r="U66" s="5">
        <v>29352.19</v>
      </c>
      <c r="V66" s="5">
        <v>3038.28</v>
      </c>
      <c r="W66" s="5">
        <v>4796.97</v>
      </c>
      <c r="X66" s="5">
        <v>2048.63</v>
      </c>
      <c r="Y66" s="4">
        <v>2453749</v>
      </c>
    </row>
    <row r="67" spans="1:25" ht="16.05" customHeight="1" x14ac:dyDescent="0.3">
      <c r="A67" s="7">
        <v>1098</v>
      </c>
      <c r="B67" s="7">
        <v>16</v>
      </c>
      <c r="C67" s="7">
        <v>2022</v>
      </c>
      <c r="D67" s="8" t="s">
        <v>26</v>
      </c>
      <c r="E67" s="9">
        <v>2994</v>
      </c>
      <c r="F67" s="10">
        <v>81237158.359999999</v>
      </c>
      <c r="G67" s="10">
        <v>11925614.85</v>
      </c>
      <c r="H67" s="11">
        <v>14.68</v>
      </c>
      <c r="I67" s="11">
        <v>15.79</v>
      </c>
      <c r="J67" s="10">
        <v>6663.2</v>
      </c>
      <c r="K67" s="10">
        <v>18109.330000000002</v>
      </c>
      <c r="L67" s="10">
        <v>81178236.010000005</v>
      </c>
      <c r="M67" s="10">
        <v>81216864.120000005</v>
      </c>
      <c r="N67" s="10">
        <v>58922.35</v>
      </c>
      <c r="O67" s="10">
        <v>81192566.430000007</v>
      </c>
      <c r="P67" s="10">
        <v>81182500.769999996</v>
      </c>
      <c r="Q67" s="10">
        <v>10065.66</v>
      </c>
      <c r="R67" s="10">
        <v>12827347.310000001</v>
      </c>
      <c r="S67" s="10">
        <v>-901732.46</v>
      </c>
      <c r="T67" s="10">
        <v>29283.82</v>
      </c>
      <c r="U67" s="10">
        <v>19965.18</v>
      </c>
      <c r="V67" s="10">
        <v>6363.68</v>
      </c>
      <c r="W67" s="10">
        <v>7966.74</v>
      </c>
      <c r="X67" s="10">
        <v>1542.68</v>
      </c>
      <c r="Y67" s="9">
        <v>3041159</v>
      </c>
    </row>
    <row r="68" spans="1:25" ht="16.05" customHeight="1" x14ac:dyDescent="0.3">
      <c r="A68" s="2">
        <v>1168</v>
      </c>
      <c r="B68" s="2">
        <v>17</v>
      </c>
      <c r="C68" s="2">
        <v>2022</v>
      </c>
      <c r="D68" s="3" t="s">
        <v>26</v>
      </c>
      <c r="E68" s="4">
        <v>1539</v>
      </c>
      <c r="F68" s="5">
        <v>58656253.859999999</v>
      </c>
      <c r="G68" s="5">
        <v>7742625.5099999998</v>
      </c>
      <c r="H68" s="6">
        <v>13.2</v>
      </c>
      <c r="I68" s="6">
        <v>17.809999999999999</v>
      </c>
      <c r="J68" s="5">
        <v>4706.46</v>
      </c>
      <c r="K68" s="5">
        <v>13502.48</v>
      </c>
      <c r="L68" s="5">
        <v>58556417.380000003</v>
      </c>
      <c r="M68" s="5">
        <v>58639767.530000001</v>
      </c>
      <c r="N68" s="5">
        <v>99836.479999999996</v>
      </c>
      <c r="O68" s="5">
        <v>58563458.43</v>
      </c>
      <c r="P68" s="5">
        <v>58558238</v>
      </c>
      <c r="Q68" s="5">
        <v>5220.43</v>
      </c>
      <c r="R68" s="5">
        <v>10446678.810000001</v>
      </c>
      <c r="S68" s="5">
        <v>-2704053.3</v>
      </c>
      <c r="T68" s="5">
        <v>108486.96</v>
      </c>
      <c r="U68" s="5">
        <v>5982.22</v>
      </c>
      <c r="V68" s="5">
        <v>5640.08</v>
      </c>
      <c r="W68" s="5">
        <v>1400.97</v>
      </c>
      <c r="X68" s="5">
        <v>1574.85</v>
      </c>
      <c r="Y68" s="4">
        <v>1787038</v>
      </c>
    </row>
    <row r="69" spans="1:25" ht="16.05" customHeight="1" x14ac:dyDescent="0.3">
      <c r="A69" s="7">
        <v>1238</v>
      </c>
      <c r="B69" s="7">
        <v>18</v>
      </c>
      <c r="C69" s="7">
        <v>2022</v>
      </c>
      <c r="D69" s="8" t="s">
        <v>26</v>
      </c>
      <c r="E69" s="9">
        <v>537</v>
      </c>
      <c r="F69" s="10">
        <v>10002920.83</v>
      </c>
      <c r="G69" s="10">
        <v>1861543.57</v>
      </c>
      <c r="H69" s="11">
        <v>18.61</v>
      </c>
      <c r="I69" s="11">
        <v>8.1300000000000008</v>
      </c>
      <c r="J69" s="10">
        <v>11698.72</v>
      </c>
      <c r="K69" s="10">
        <v>6358.1</v>
      </c>
      <c r="L69" s="10">
        <v>9933043.2300000004</v>
      </c>
      <c r="M69" s="10">
        <v>9991930.1999999993</v>
      </c>
      <c r="N69" s="10">
        <v>69877.600000000006</v>
      </c>
      <c r="O69" s="10">
        <v>9943636.7100000009</v>
      </c>
      <c r="P69" s="10">
        <v>9929350.0299999993</v>
      </c>
      <c r="Q69" s="10">
        <v>14286.68</v>
      </c>
      <c r="R69" s="10">
        <v>813237.46</v>
      </c>
      <c r="S69" s="10">
        <v>1048306.1</v>
      </c>
      <c r="T69" s="10">
        <v>83205.06</v>
      </c>
      <c r="U69" s="10">
        <v>10342.450000000001</v>
      </c>
      <c r="V69" s="10">
        <v>9749.08</v>
      </c>
      <c r="W69" s="10">
        <v>844.4</v>
      </c>
      <c r="X69" s="10">
        <v>2623.7</v>
      </c>
      <c r="Y69" s="9">
        <v>4342510</v>
      </c>
    </row>
    <row r="70" spans="1:25" ht="16.05" customHeight="1" x14ac:dyDescent="0.3">
      <c r="A70" s="2">
        <v>1308</v>
      </c>
      <c r="B70" s="2">
        <v>19</v>
      </c>
      <c r="C70" s="2">
        <v>2022</v>
      </c>
      <c r="D70" s="3" t="s">
        <v>26</v>
      </c>
      <c r="E70" s="4">
        <v>3885</v>
      </c>
      <c r="F70" s="5">
        <v>35911096.789999999</v>
      </c>
      <c r="G70" s="5">
        <v>6090522.0199999996</v>
      </c>
      <c r="H70" s="6">
        <v>16.96</v>
      </c>
      <c r="I70" s="6">
        <v>9.5</v>
      </c>
      <c r="J70" s="5">
        <v>13918.12</v>
      </c>
      <c r="K70" s="5">
        <v>8756.41</v>
      </c>
      <c r="L70" s="5">
        <v>35813175.530000001</v>
      </c>
      <c r="M70" s="5">
        <v>35906105.719999999</v>
      </c>
      <c r="N70" s="5">
        <v>97921.26</v>
      </c>
      <c r="O70" s="5">
        <v>35827953.759999998</v>
      </c>
      <c r="P70" s="5">
        <v>35813192.039999999</v>
      </c>
      <c r="Q70" s="5">
        <v>14761.72</v>
      </c>
      <c r="R70" s="5">
        <v>3411554.2</v>
      </c>
      <c r="S70" s="5">
        <v>2678967.8199999998</v>
      </c>
      <c r="T70" s="5">
        <v>101962.63</v>
      </c>
      <c r="U70" s="5">
        <v>38220.839999999997</v>
      </c>
      <c r="V70" s="5">
        <v>7546.03</v>
      </c>
      <c r="W70" s="5">
        <v>7232.2</v>
      </c>
      <c r="X70" s="5">
        <v>2655.96</v>
      </c>
      <c r="Y70" s="4">
        <v>2411356</v>
      </c>
    </row>
    <row r="71" spans="1:25" ht="16.05" customHeight="1" x14ac:dyDescent="0.3">
      <c r="A71" s="7">
        <v>1378</v>
      </c>
      <c r="B71" s="7">
        <v>20</v>
      </c>
      <c r="C71" s="7">
        <v>2022</v>
      </c>
      <c r="D71" s="8" t="s">
        <v>26</v>
      </c>
      <c r="E71" s="9">
        <v>1800</v>
      </c>
      <c r="F71" s="10">
        <v>68682571.120000005</v>
      </c>
      <c r="G71" s="10">
        <v>12877982.09</v>
      </c>
      <c r="H71" s="11">
        <v>18.75</v>
      </c>
      <c r="I71" s="11">
        <v>18.12</v>
      </c>
      <c r="J71" s="10">
        <v>1293.81</v>
      </c>
      <c r="K71" s="10">
        <v>7410.12</v>
      </c>
      <c r="L71" s="10">
        <v>68620700.010000005</v>
      </c>
      <c r="M71" s="10">
        <v>68670287.290000007</v>
      </c>
      <c r="N71" s="10">
        <v>61871.11</v>
      </c>
      <c r="O71" s="10">
        <v>68634860.480000004</v>
      </c>
      <c r="P71" s="10">
        <v>68622675.390000001</v>
      </c>
      <c r="Q71" s="10">
        <v>12185.09</v>
      </c>
      <c r="R71" s="10">
        <v>12445281.890000001</v>
      </c>
      <c r="S71" s="10">
        <v>432700.2</v>
      </c>
      <c r="T71" s="10">
        <v>43738.07</v>
      </c>
      <c r="U71" s="10">
        <v>20421.32</v>
      </c>
      <c r="V71" s="10">
        <v>6205.99</v>
      </c>
      <c r="W71" s="10">
        <v>7954.48</v>
      </c>
      <c r="X71" s="10">
        <v>3495.28</v>
      </c>
      <c r="Y71" s="9">
        <v>1112603</v>
      </c>
    </row>
    <row r="72" spans="1:25" ht="16.05" customHeight="1" x14ac:dyDescent="0.3">
      <c r="A72" s="2">
        <v>1448</v>
      </c>
      <c r="B72" s="2">
        <v>21</v>
      </c>
      <c r="C72" s="2">
        <v>2022</v>
      </c>
      <c r="D72" s="3" t="s">
        <v>26</v>
      </c>
      <c r="E72" s="4">
        <v>118</v>
      </c>
      <c r="F72" s="5">
        <v>2947510.57</v>
      </c>
      <c r="G72" s="5">
        <v>427683.78</v>
      </c>
      <c r="H72" s="6">
        <v>14.51</v>
      </c>
      <c r="I72" s="6">
        <v>10.78</v>
      </c>
      <c r="J72" s="5">
        <v>4726.1499999999996</v>
      </c>
      <c r="K72" s="5">
        <v>8685.14</v>
      </c>
      <c r="L72" s="5">
        <v>2873294.45</v>
      </c>
      <c r="M72" s="5">
        <v>2936087.15</v>
      </c>
      <c r="N72" s="5">
        <v>74216.12</v>
      </c>
      <c r="O72" s="5">
        <v>2883746.5</v>
      </c>
      <c r="P72" s="5">
        <v>2879005.75</v>
      </c>
      <c r="Q72" s="5">
        <v>4740.75</v>
      </c>
      <c r="R72" s="5">
        <v>317741.64</v>
      </c>
      <c r="S72" s="5">
        <v>109942.14</v>
      </c>
      <c r="T72" s="5">
        <v>21591.07</v>
      </c>
      <c r="U72" s="5">
        <v>34187.42</v>
      </c>
      <c r="V72" s="5">
        <v>4983.09</v>
      </c>
      <c r="W72" s="5">
        <v>5468.96</v>
      </c>
      <c r="X72" s="5">
        <v>3311.15</v>
      </c>
      <c r="Y72" s="4">
        <v>3211478</v>
      </c>
    </row>
    <row r="73" spans="1:25" ht="16.05" customHeight="1" x14ac:dyDescent="0.3">
      <c r="A73" s="7">
        <v>1518</v>
      </c>
      <c r="B73" s="7">
        <v>22</v>
      </c>
      <c r="C73" s="7">
        <v>2022</v>
      </c>
      <c r="D73" s="8" t="s">
        <v>26</v>
      </c>
      <c r="E73" s="9">
        <v>6824</v>
      </c>
      <c r="F73" s="10">
        <v>414514346.69999999</v>
      </c>
      <c r="G73" s="10">
        <v>46176898.219999999</v>
      </c>
      <c r="H73" s="11">
        <v>11.14</v>
      </c>
      <c r="I73" s="11">
        <v>13.84</v>
      </c>
      <c r="J73" s="10">
        <v>14686.07</v>
      </c>
      <c r="K73" s="10">
        <v>15235.54</v>
      </c>
      <c r="L73" s="10">
        <v>414451044.30000001</v>
      </c>
      <c r="M73" s="10">
        <v>414493083.60000002</v>
      </c>
      <c r="N73" s="10">
        <v>63302.400000000001</v>
      </c>
      <c r="O73" s="10">
        <v>414458996.39999998</v>
      </c>
      <c r="P73" s="10">
        <v>414454810.60000002</v>
      </c>
      <c r="Q73" s="10">
        <v>4185.84</v>
      </c>
      <c r="R73" s="10">
        <v>57368785.590000004</v>
      </c>
      <c r="S73" s="10">
        <v>-11191887.359999999</v>
      </c>
      <c r="T73" s="10">
        <v>100902.68</v>
      </c>
      <c r="U73" s="10">
        <v>19537.05</v>
      </c>
      <c r="V73" s="10">
        <v>3536.32</v>
      </c>
      <c r="W73" s="10">
        <v>4415.78</v>
      </c>
      <c r="X73" s="10">
        <v>4991.05</v>
      </c>
      <c r="Y73" s="9">
        <v>3704062</v>
      </c>
    </row>
    <row r="74" spans="1:25" ht="16.05" customHeight="1" x14ac:dyDescent="0.3">
      <c r="A74" s="2">
        <v>1588</v>
      </c>
      <c r="B74" s="2">
        <v>23</v>
      </c>
      <c r="C74" s="2">
        <v>2022</v>
      </c>
      <c r="D74" s="3" t="s">
        <v>26</v>
      </c>
      <c r="E74" s="4">
        <v>6460</v>
      </c>
      <c r="F74" s="5">
        <v>77902344.150000006</v>
      </c>
      <c r="G74" s="5">
        <v>7930458.6299999999</v>
      </c>
      <c r="H74" s="6">
        <v>10.18</v>
      </c>
      <c r="I74" s="6">
        <v>10.23</v>
      </c>
      <c r="J74" s="5">
        <v>6025.98</v>
      </c>
      <c r="K74" s="5">
        <v>2895.35</v>
      </c>
      <c r="L74" s="5">
        <v>77813019.319999993</v>
      </c>
      <c r="M74" s="5">
        <v>77890117.829999998</v>
      </c>
      <c r="N74" s="5">
        <v>89324.83</v>
      </c>
      <c r="O74" s="5">
        <v>77824329.890000001</v>
      </c>
      <c r="P74" s="5">
        <v>77811637.390000001</v>
      </c>
      <c r="Q74" s="5">
        <v>12692.5</v>
      </c>
      <c r="R74" s="5">
        <v>7969409.8099999996</v>
      </c>
      <c r="S74" s="5">
        <v>-38951.17</v>
      </c>
      <c r="T74" s="5">
        <v>98460.75</v>
      </c>
      <c r="U74" s="5">
        <v>33639.589999999997</v>
      </c>
      <c r="V74" s="5">
        <v>10081.81</v>
      </c>
      <c r="W74" s="5">
        <v>1228.76</v>
      </c>
      <c r="X74" s="5">
        <v>3542.69</v>
      </c>
      <c r="Y74" s="4">
        <v>1243296</v>
      </c>
    </row>
    <row r="75" spans="1:25" ht="16.05" customHeight="1" x14ac:dyDescent="0.3">
      <c r="A75" s="7">
        <v>1658</v>
      </c>
      <c r="B75" s="7">
        <v>24</v>
      </c>
      <c r="C75" s="7">
        <v>2022</v>
      </c>
      <c r="D75" s="8" t="s">
        <v>26</v>
      </c>
      <c r="E75" s="9">
        <v>5637</v>
      </c>
      <c r="F75" s="10">
        <v>128637383.8</v>
      </c>
      <c r="G75" s="10">
        <v>28351679.390000001</v>
      </c>
      <c r="H75" s="11">
        <v>22.04</v>
      </c>
      <c r="I75" s="11">
        <v>7.4</v>
      </c>
      <c r="J75" s="10">
        <v>8891.02</v>
      </c>
      <c r="K75" s="10">
        <v>16554.490000000002</v>
      </c>
      <c r="L75" s="10">
        <v>128584828.5</v>
      </c>
      <c r="M75" s="10">
        <v>128614033.40000001</v>
      </c>
      <c r="N75" s="10">
        <v>52555.27</v>
      </c>
      <c r="O75" s="10">
        <v>128593575.90000001</v>
      </c>
      <c r="P75" s="10">
        <v>128580575.3</v>
      </c>
      <c r="Q75" s="10">
        <v>13000.65</v>
      </c>
      <c r="R75" s="10">
        <v>9519166.4000000004</v>
      </c>
      <c r="S75" s="10">
        <v>18832512.989999998</v>
      </c>
      <c r="T75" s="10">
        <v>20717.25</v>
      </c>
      <c r="U75" s="10">
        <v>55405.120000000003</v>
      </c>
      <c r="V75" s="10">
        <v>3464.96</v>
      </c>
      <c r="W75" s="10">
        <v>5282.45</v>
      </c>
      <c r="X75" s="10">
        <v>3473.17</v>
      </c>
      <c r="Y75" s="9">
        <v>4902297</v>
      </c>
    </row>
    <row r="76" spans="1:25" ht="16.05" customHeight="1" x14ac:dyDescent="0.3">
      <c r="A76" s="2">
        <v>1728</v>
      </c>
      <c r="B76" s="2">
        <v>25</v>
      </c>
      <c r="C76" s="2">
        <v>2022</v>
      </c>
      <c r="D76" s="3" t="s">
        <v>26</v>
      </c>
      <c r="E76" s="4">
        <v>5099</v>
      </c>
      <c r="F76" s="5">
        <v>323622622.10000002</v>
      </c>
      <c r="G76" s="5">
        <v>79514078.260000005</v>
      </c>
      <c r="H76" s="6">
        <v>24.57</v>
      </c>
      <c r="I76" s="6">
        <v>19.52</v>
      </c>
      <c r="J76" s="5">
        <v>14889.49</v>
      </c>
      <c r="K76" s="5">
        <v>2959.67</v>
      </c>
      <c r="L76" s="5">
        <v>323555575.19999999</v>
      </c>
      <c r="M76" s="5">
        <v>323608824.80000001</v>
      </c>
      <c r="N76" s="5">
        <v>67046.929999999993</v>
      </c>
      <c r="O76" s="5">
        <v>323566253.10000002</v>
      </c>
      <c r="P76" s="5">
        <v>323558764.39999998</v>
      </c>
      <c r="Q76" s="5">
        <v>7488.73</v>
      </c>
      <c r="R76" s="5">
        <v>63171135.840000004</v>
      </c>
      <c r="S76" s="5">
        <v>16342942.42</v>
      </c>
      <c r="T76" s="5">
        <v>100757.63</v>
      </c>
      <c r="U76" s="5">
        <v>32526.41</v>
      </c>
      <c r="V76" s="5">
        <v>4256.41</v>
      </c>
      <c r="W76" s="5">
        <v>6421.5</v>
      </c>
      <c r="X76" s="5">
        <v>1029.8</v>
      </c>
      <c r="Y76" s="4">
        <v>4601347</v>
      </c>
    </row>
    <row r="77" spans="1:25" ht="16.05" customHeight="1" x14ac:dyDescent="0.3">
      <c r="A77" s="7">
        <v>1798</v>
      </c>
      <c r="B77" s="7">
        <v>26</v>
      </c>
      <c r="C77" s="7">
        <v>2022</v>
      </c>
      <c r="D77" s="8" t="s">
        <v>26</v>
      </c>
      <c r="E77" s="9">
        <v>4779</v>
      </c>
      <c r="F77" s="10">
        <v>187179441.5</v>
      </c>
      <c r="G77" s="10">
        <v>29480762.039999999</v>
      </c>
      <c r="H77" s="11">
        <v>15.75</v>
      </c>
      <c r="I77" s="11">
        <v>6.61</v>
      </c>
      <c r="J77" s="10">
        <v>13772.5</v>
      </c>
      <c r="K77" s="10">
        <v>11131.18</v>
      </c>
      <c r="L77" s="10">
        <v>187132305.5</v>
      </c>
      <c r="M77" s="10">
        <v>187156703.19999999</v>
      </c>
      <c r="N77" s="10">
        <v>47136</v>
      </c>
      <c r="O77" s="10">
        <v>187138323.09999999</v>
      </c>
      <c r="P77" s="10">
        <v>187137006.09999999</v>
      </c>
      <c r="Q77" s="10">
        <v>1317.05</v>
      </c>
      <c r="R77" s="10">
        <v>12372561.08</v>
      </c>
      <c r="S77" s="10">
        <v>17108200.960000001</v>
      </c>
      <c r="T77" s="10">
        <v>102294.61</v>
      </c>
      <c r="U77" s="10">
        <v>53578.53</v>
      </c>
      <c r="V77" s="10">
        <v>2123.8200000000002</v>
      </c>
      <c r="W77" s="10">
        <v>3893.76</v>
      </c>
      <c r="X77" s="10">
        <v>3238.25</v>
      </c>
      <c r="Y77" s="9">
        <v>4667877</v>
      </c>
    </row>
    <row r="78" spans="1:25" ht="16.05" customHeight="1" x14ac:dyDescent="0.3">
      <c r="A78" s="2">
        <v>1868</v>
      </c>
      <c r="B78" s="2">
        <v>27</v>
      </c>
      <c r="C78" s="2">
        <v>2022</v>
      </c>
      <c r="D78" s="3" t="s">
        <v>26</v>
      </c>
      <c r="E78" s="4">
        <v>2080</v>
      </c>
      <c r="F78" s="5">
        <v>139423780</v>
      </c>
      <c r="G78" s="5">
        <v>13259201.48</v>
      </c>
      <c r="H78" s="6">
        <v>9.51</v>
      </c>
      <c r="I78" s="6">
        <v>6.34</v>
      </c>
      <c r="J78" s="5">
        <v>12128.82</v>
      </c>
      <c r="K78" s="5">
        <v>12588.01</v>
      </c>
      <c r="L78" s="5">
        <v>139396691.59999999</v>
      </c>
      <c r="M78" s="5">
        <v>139403289.69999999</v>
      </c>
      <c r="N78" s="5">
        <v>27088.47</v>
      </c>
      <c r="O78" s="5">
        <v>139414865.5</v>
      </c>
      <c r="P78" s="5">
        <v>139401230.90000001</v>
      </c>
      <c r="Q78" s="5">
        <v>13634.65</v>
      </c>
      <c r="R78" s="5">
        <v>8839467.6500000004</v>
      </c>
      <c r="S78" s="5">
        <v>4419733.83</v>
      </c>
      <c r="T78" s="5">
        <v>45163.7</v>
      </c>
      <c r="U78" s="5">
        <v>11818.34</v>
      </c>
      <c r="V78" s="5">
        <v>10649.01</v>
      </c>
      <c r="W78" s="5">
        <v>7524.96</v>
      </c>
      <c r="X78" s="5">
        <v>2106.83</v>
      </c>
      <c r="Y78" s="4">
        <v>1937118</v>
      </c>
    </row>
    <row r="79" spans="1:25" ht="16.05" customHeight="1" x14ac:dyDescent="0.3">
      <c r="A79" s="7">
        <v>1938</v>
      </c>
      <c r="B79" s="7">
        <v>28</v>
      </c>
      <c r="C79" s="7">
        <v>2022</v>
      </c>
      <c r="D79" s="8" t="s">
        <v>26</v>
      </c>
      <c r="E79" s="9">
        <v>2032</v>
      </c>
      <c r="F79" s="10">
        <v>34511477.68</v>
      </c>
      <c r="G79" s="10">
        <v>5753063.3300000001</v>
      </c>
      <c r="H79" s="11">
        <v>16.670000000000002</v>
      </c>
      <c r="I79" s="11">
        <v>5.82</v>
      </c>
      <c r="J79" s="10">
        <v>3970.56</v>
      </c>
      <c r="K79" s="10">
        <v>15341.84</v>
      </c>
      <c r="L79" s="10">
        <v>34415490.740000002</v>
      </c>
      <c r="M79" s="10">
        <v>34498508.159999996</v>
      </c>
      <c r="N79" s="10">
        <v>95986.94</v>
      </c>
      <c r="O79" s="10">
        <v>34432758.719999999</v>
      </c>
      <c r="P79" s="10">
        <v>34419339.579999998</v>
      </c>
      <c r="Q79" s="10">
        <v>13419.14</v>
      </c>
      <c r="R79" s="10">
        <v>2008568</v>
      </c>
      <c r="S79" s="10">
        <v>3744495.33</v>
      </c>
      <c r="T79" s="10">
        <v>64708.85</v>
      </c>
      <c r="U79" s="10">
        <v>50267.55</v>
      </c>
      <c r="V79" s="10">
        <v>11804.47</v>
      </c>
      <c r="W79" s="10">
        <v>5463.51</v>
      </c>
      <c r="X79" s="10">
        <v>3662.47</v>
      </c>
      <c r="Y79" s="9">
        <v>1297859</v>
      </c>
    </row>
    <row r="80" spans="1:25" ht="16.05" customHeight="1" x14ac:dyDescent="0.3">
      <c r="A80" s="2">
        <v>2008</v>
      </c>
      <c r="B80" s="2">
        <v>29</v>
      </c>
      <c r="C80" s="2">
        <v>2022</v>
      </c>
      <c r="D80" s="3" t="s">
        <v>26</v>
      </c>
      <c r="E80" s="4">
        <v>5459</v>
      </c>
      <c r="F80" s="5">
        <v>373232085.39999998</v>
      </c>
      <c r="G80" s="5">
        <v>98906502.640000001</v>
      </c>
      <c r="H80" s="6">
        <v>26.5</v>
      </c>
      <c r="I80" s="6">
        <v>14.85</v>
      </c>
      <c r="J80" s="5">
        <v>2977.94</v>
      </c>
      <c r="K80" s="5">
        <v>19813.7</v>
      </c>
      <c r="L80" s="5">
        <v>373172666.39999998</v>
      </c>
      <c r="M80" s="5">
        <v>373216095.39999998</v>
      </c>
      <c r="N80" s="5">
        <v>59419.05</v>
      </c>
      <c r="O80" s="5">
        <v>373186764</v>
      </c>
      <c r="P80" s="5">
        <v>373178656.39999998</v>
      </c>
      <c r="Q80" s="5">
        <v>8107.57</v>
      </c>
      <c r="R80" s="5">
        <v>55424964.689999998</v>
      </c>
      <c r="S80" s="5">
        <v>43481537.950000003</v>
      </c>
      <c r="T80" s="5">
        <v>44956.19</v>
      </c>
      <c r="U80" s="5">
        <v>26019.8</v>
      </c>
      <c r="V80" s="5">
        <v>6489.41</v>
      </c>
      <c r="W80" s="5">
        <v>7608.19</v>
      </c>
      <c r="X80" s="5">
        <v>2800.43</v>
      </c>
      <c r="Y80" s="4">
        <v>3579741</v>
      </c>
    </row>
    <row r="81" spans="1:25" ht="16.05" customHeight="1" x14ac:dyDescent="0.3">
      <c r="A81" s="7">
        <v>2078</v>
      </c>
      <c r="B81" s="7">
        <v>30</v>
      </c>
      <c r="C81" s="7">
        <v>2022</v>
      </c>
      <c r="D81" s="8" t="s">
        <v>26</v>
      </c>
      <c r="E81" s="9">
        <v>6608</v>
      </c>
      <c r="F81" s="10">
        <v>381314144.30000001</v>
      </c>
      <c r="G81" s="10">
        <v>91095949.060000002</v>
      </c>
      <c r="H81" s="11">
        <v>23.89</v>
      </c>
      <c r="I81" s="11">
        <v>12.14</v>
      </c>
      <c r="J81" s="10">
        <v>10716.3</v>
      </c>
      <c r="K81" s="10">
        <v>13185.67</v>
      </c>
      <c r="L81" s="10">
        <v>381299029.5</v>
      </c>
      <c r="M81" s="10">
        <v>381298293.5</v>
      </c>
      <c r="N81" s="10">
        <v>15114.75</v>
      </c>
      <c r="O81" s="10">
        <v>381306769.80000001</v>
      </c>
      <c r="P81" s="10">
        <v>381294436</v>
      </c>
      <c r="Q81" s="10">
        <v>12333.85</v>
      </c>
      <c r="R81" s="10">
        <v>46291537.109999999</v>
      </c>
      <c r="S81" s="10">
        <v>44804411.950000003</v>
      </c>
      <c r="T81" s="10">
        <v>63940.41</v>
      </c>
      <c r="U81" s="10">
        <v>13609.28</v>
      </c>
      <c r="V81" s="10">
        <v>1395.5</v>
      </c>
      <c r="W81" s="10">
        <v>6344.82</v>
      </c>
      <c r="X81" s="10">
        <v>3273.44</v>
      </c>
      <c r="Y81" s="9">
        <v>4423545</v>
      </c>
    </row>
    <row r="82" spans="1:25" ht="16.05" customHeight="1" x14ac:dyDescent="0.3">
      <c r="A82" s="2">
        <v>2148</v>
      </c>
      <c r="B82" s="2">
        <v>31</v>
      </c>
      <c r="C82" s="2">
        <v>2022</v>
      </c>
      <c r="D82" s="3" t="s">
        <v>26</v>
      </c>
      <c r="E82" s="4">
        <v>3134</v>
      </c>
      <c r="F82" s="5">
        <v>107076510.59999999</v>
      </c>
      <c r="G82" s="5">
        <v>9572640.0399999991</v>
      </c>
      <c r="H82" s="6">
        <v>8.94</v>
      </c>
      <c r="I82" s="6">
        <v>12.22</v>
      </c>
      <c r="J82" s="5">
        <v>13547.22</v>
      </c>
      <c r="K82" s="5">
        <v>17978.34</v>
      </c>
      <c r="L82" s="5">
        <v>107053205.59999999</v>
      </c>
      <c r="M82" s="5">
        <v>107062248.40000001</v>
      </c>
      <c r="N82" s="5">
        <v>23304.93</v>
      </c>
      <c r="O82" s="5">
        <v>107060199.90000001</v>
      </c>
      <c r="P82" s="5">
        <v>107048736.09999999</v>
      </c>
      <c r="Q82" s="5">
        <v>11463.83</v>
      </c>
      <c r="R82" s="5">
        <v>13084749.59</v>
      </c>
      <c r="S82" s="5">
        <v>-3512109.55</v>
      </c>
      <c r="T82" s="5">
        <v>24149.85</v>
      </c>
      <c r="U82" s="5">
        <v>28919.200000000001</v>
      </c>
      <c r="V82" s="5">
        <v>3472.11</v>
      </c>
      <c r="W82" s="5">
        <v>3522.2</v>
      </c>
      <c r="X82" s="5">
        <v>2510.87</v>
      </c>
      <c r="Y82" s="4">
        <v>3808241</v>
      </c>
    </row>
    <row r="83" spans="1:25" ht="16.05" customHeight="1" x14ac:dyDescent="0.3">
      <c r="A83" s="7">
        <v>2218</v>
      </c>
      <c r="B83" s="7">
        <v>32</v>
      </c>
      <c r="C83" s="7">
        <v>2022</v>
      </c>
      <c r="D83" s="8" t="s">
        <v>26</v>
      </c>
      <c r="E83" s="9">
        <v>212</v>
      </c>
      <c r="F83" s="10">
        <v>7384518.5099999998</v>
      </c>
      <c r="G83" s="10">
        <v>880973.06</v>
      </c>
      <c r="H83" s="11">
        <v>11.93</v>
      </c>
      <c r="I83" s="11">
        <v>18.61</v>
      </c>
      <c r="J83" s="10">
        <v>1825.17</v>
      </c>
      <c r="K83" s="10">
        <v>13178.87</v>
      </c>
      <c r="L83" s="10">
        <v>7367163.96</v>
      </c>
      <c r="M83" s="10">
        <v>7375413.1299999999</v>
      </c>
      <c r="N83" s="10">
        <v>17354.55</v>
      </c>
      <c r="O83" s="10">
        <v>7383237.2300000004</v>
      </c>
      <c r="P83" s="10">
        <v>7371559.9699999997</v>
      </c>
      <c r="Q83" s="10">
        <v>11677.26</v>
      </c>
      <c r="R83" s="10">
        <v>1374258.9</v>
      </c>
      <c r="S83" s="10">
        <v>-493285.84</v>
      </c>
      <c r="T83" s="10">
        <v>49701</v>
      </c>
      <c r="U83" s="10">
        <v>37845.599999999999</v>
      </c>
      <c r="V83" s="10">
        <v>9088.1299999999992</v>
      </c>
      <c r="W83" s="10">
        <v>6985.14</v>
      </c>
      <c r="X83" s="10">
        <v>4147.3100000000004</v>
      </c>
      <c r="Y83" s="9">
        <v>3950470</v>
      </c>
    </row>
    <row r="84" spans="1:25" ht="16.05" customHeight="1" x14ac:dyDescent="0.3">
      <c r="A84" s="2">
        <v>2288</v>
      </c>
      <c r="B84" s="2">
        <v>33</v>
      </c>
      <c r="C84" s="2">
        <v>2022</v>
      </c>
      <c r="D84" s="3" t="s">
        <v>26</v>
      </c>
      <c r="E84" s="4">
        <v>6508</v>
      </c>
      <c r="F84" s="5">
        <v>409667931.60000002</v>
      </c>
      <c r="G84" s="5">
        <v>69889349.129999995</v>
      </c>
      <c r="H84" s="6">
        <v>17.059999999999999</v>
      </c>
      <c r="I84" s="6">
        <v>9.51</v>
      </c>
      <c r="J84" s="5">
        <v>2355.92</v>
      </c>
      <c r="K84" s="5">
        <v>17086.98</v>
      </c>
      <c r="L84" s="5">
        <v>409639654.10000002</v>
      </c>
      <c r="M84" s="5">
        <v>409651916</v>
      </c>
      <c r="N84" s="5">
        <v>28277.49</v>
      </c>
      <c r="O84" s="5">
        <v>409650304.60000002</v>
      </c>
      <c r="P84" s="5">
        <v>409641938.39999998</v>
      </c>
      <c r="Q84" s="5">
        <v>8366.23</v>
      </c>
      <c r="R84" s="5">
        <v>38959420.299999997</v>
      </c>
      <c r="S84" s="5">
        <v>30929928.84</v>
      </c>
      <c r="T84" s="5">
        <v>99328.55</v>
      </c>
      <c r="U84" s="5">
        <v>34448.879999999997</v>
      </c>
      <c r="V84" s="5">
        <v>7325.22</v>
      </c>
      <c r="W84" s="5">
        <v>3325.25</v>
      </c>
      <c r="X84" s="5">
        <v>4091.32</v>
      </c>
      <c r="Y84" s="4">
        <v>2523479</v>
      </c>
    </row>
    <row r="85" spans="1:25" ht="16.05" customHeight="1" x14ac:dyDescent="0.3">
      <c r="A85" s="7">
        <v>2358</v>
      </c>
      <c r="B85" s="7">
        <v>34</v>
      </c>
      <c r="C85" s="7">
        <v>2022</v>
      </c>
      <c r="D85" s="8" t="s">
        <v>26</v>
      </c>
      <c r="E85" s="9">
        <v>5089</v>
      </c>
      <c r="F85" s="10">
        <v>345313346.19999999</v>
      </c>
      <c r="G85" s="10">
        <v>94408668.840000004</v>
      </c>
      <c r="H85" s="11">
        <v>27.34</v>
      </c>
      <c r="I85" s="11">
        <v>6.68</v>
      </c>
      <c r="J85" s="10">
        <v>8622.81</v>
      </c>
      <c r="K85" s="10">
        <v>2133.66</v>
      </c>
      <c r="L85" s="10">
        <v>345291441.39999998</v>
      </c>
      <c r="M85" s="10">
        <v>345305083.69999999</v>
      </c>
      <c r="N85" s="10">
        <v>21904.720000000001</v>
      </c>
      <c r="O85" s="10">
        <v>345301265</v>
      </c>
      <c r="P85" s="10">
        <v>345295231.39999998</v>
      </c>
      <c r="Q85" s="10">
        <v>6033.65</v>
      </c>
      <c r="R85" s="10">
        <v>23066931.52</v>
      </c>
      <c r="S85" s="10">
        <v>71341737.319999993</v>
      </c>
      <c r="T85" s="10">
        <v>107800.79</v>
      </c>
      <c r="U85" s="10">
        <v>24998.04</v>
      </c>
      <c r="V85" s="10">
        <v>8681.2000000000007</v>
      </c>
      <c r="W85" s="10">
        <v>1142.3699999999999</v>
      </c>
      <c r="X85" s="10">
        <v>1600.91</v>
      </c>
      <c r="Y85" s="9">
        <v>4858486</v>
      </c>
    </row>
    <row r="86" spans="1:25" ht="16.05" customHeight="1" x14ac:dyDescent="0.3">
      <c r="A86" s="2">
        <v>2428</v>
      </c>
      <c r="B86" s="2">
        <v>35</v>
      </c>
      <c r="C86" s="2">
        <v>2022</v>
      </c>
      <c r="D86" s="3" t="s">
        <v>26</v>
      </c>
      <c r="E86" s="4">
        <v>3733</v>
      </c>
      <c r="F86" s="5">
        <v>69832442.769999996</v>
      </c>
      <c r="G86" s="5">
        <v>20663419.82</v>
      </c>
      <c r="H86" s="6">
        <v>29.59</v>
      </c>
      <c r="I86" s="6">
        <v>6.67</v>
      </c>
      <c r="J86" s="5">
        <v>2299.1999999999998</v>
      </c>
      <c r="K86" s="5">
        <v>8196.48</v>
      </c>
      <c r="L86" s="5">
        <v>69782172.450000003</v>
      </c>
      <c r="M86" s="5">
        <v>69820650.170000002</v>
      </c>
      <c r="N86" s="5">
        <v>50270.32</v>
      </c>
      <c r="O86" s="5">
        <v>69792759.599999994</v>
      </c>
      <c r="P86" s="5">
        <v>69789606.629999995</v>
      </c>
      <c r="Q86" s="5">
        <v>3152.97</v>
      </c>
      <c r="R86" s="5">
        <v>4657823.93</v>
      </c>
      <c r="S86" s="5">
        <v>16005595.880000001</v>
      </c>
      <c r="T86" s="5">
        <v>93357.57</v>
      </c>
      <c r="U86" s="5">
        <v>23463.84</v>
      </c>
      <c r="V86" s="5">
        <v>9169.7999999999993</v>
      </c>
      <c r="W86" s="5">
        <v>1417.35</v>
      </c>
      <c r="X86" s="5">
        <v>2037.72</v>
      </c>
      <c r="Y86" s="4">
        <v>4643861</v>
      </c>
    </row>
    <row r="87" spans="1:25" ht="16.05" customHeight="1" x14ac:dyDescent="0.3">
      <c r="A87" s="7">
        <v>2498</v>
      </c>
      <c r="B87" s="7">
        <v>36</v>
      </c>
      <c r="C87" s="7">
        <v>2022</v>
      </c>
      <c r="D87" s="8" t="s">
        <v>26</v>
      </c>
      <c r="E87" s="9">
        <v>2513</v>
      </c>
      <c r="F87" s="10">
        <v>33752805.329999998</v>
      </c>
      <c r="G87" s="10">
        <v>8522583.3499999996</v>
      </c>
      <c r="H87" s="11">
        <v>25.25</v>
      </c>
      <c r="I87" s="11">
        <v>5.58</v>
      </c>
      <c r="J87" s="10">
        <v>6345.01</v>
      </c>
      <c r="K87" s="10">
        <v>7455.45</v>
      </c>
      <c r="L87" s="10">
        <v>33706952.859999999</v>
      </c>
      <c r="M87" s="10">
        <v>33738882.509999998</v>
      </c>
      <c r="N87" s="10">
        <v>45852.47</v>
      </c>
      <c r="O87" s="10">
        <v>33725122.43</v>
      </c>
      <c r="P87" s="10">
        <v>33720853.789999999</v>
      </c>
      <c r="Q87" s="10">
        <v>4268.6400000000003</v>
      </c>
      <c r="R87" s="10">
        <v>1883406.54</v>
      </c>
      <c r="S87" s="10">
        <v>6639176.8099999996</v>
      </c>
      <c r="T87" s="10">
        <v>29000.14</v>
      </c>
      <c r="U87" s="10">
        <v>53038.559999999998</v>
      </c>
      <c r="V87" s="10">
        <v>10573.14</v>
      </c>
      <c r="W87" s="10">
        <v>7596.43</v>
      </c>
      <c r="X87" s="10">
        <v>2087.37</v>
      </c>
      <c r="Y87" s="9">
        <v>1822009</v>
      </c>
    </row>
    <row r="88" spans="1:25" ht="16.05" customHeight="1" x14ac:dyDescent="0.3">
      <c r="A88" s="2">
        <v>2568</v>
      </c>
      <c r="B88" s="2">
        <v>37</v>
      </c>
      <c r="C88" s="2">
        <v>2022</v>
      </c>
      <c r="D88" s="3" t="s">
        <v>26</v>
      </c>
      <c r="E88" s="4">
        <v>4056</v>
      </c>
      <c r="F88" s="5">
        <v>115309293.7</v>
      </c>
      <c r="G88" s="5">
        <v>32378849.68</v>
      </c>
      <c r="H88" s="6">
        <v>28.08</v>
      </c>
      <c r="I88" s="6">
        <v>19.78</v>
      </c>
      <c r="J88" s="5">
        <v>2272.98</v>
      </c>
      <c r="K88" s="5">
        <v>5135.8900000000003</v>
      </c>
      <c r="L88" s="5">
        <v>115214659.59999999</v>
      </c>
      <c r="M88" s="5">
        <v>115304999.8</v>
      </c>
      <c r="N88" s="5">
        <v>94634.13</v>
      </c>
      <c r="O88" s="5">
        <v>115229715.40000001</v>
      </c>
      <c r="P88" s="5">
        <v>115223617.40000001</v>
      </c>
      <c r="Q88" s="5">
        <v>6098.04</v>
      </c>
      <c r="R88" s="5">
        <v>22808178.300000001</v>
      </c>
      <c r="S88" s="5">
        <v>9570671.3800000008</v>
      </c>
      <c r="T88" s="5">
        <v>92279.48</v>
      </c>
      <c r="U88" s="5">
        <v>8209.2800000000007</v>
      </c>
      <c r="V88" s="5">
        <v>10417.36</v>
      </c>
      <c r="W88" s="5">
        <v>4638.4399999999996</v>
      </c>
      <c r="X88" s="5">
        <v>2384.1999999999998</v>
      </c>
      <c r="Y88" s="4">
        <v>2968638</v>
      </c>
    </row>
    <row r="89" spans="1:25" ht="16.05" customHeight="1" x14ac:dyDescent="0.3">
      <c r="A89" s="7">
        <v>2638</v>
      </c>
      <c r="B89" s="7">
        <v>38</v>
      </c>
      <c r="C89" s="7">
        <v>2022</v>
      </c>
      <c r="D89" s="8" t="s">
        <v>26</v>
      </c>
      <c r="E89" s="9">
        <v>1302</v>
      </c>
      <c r="F89" s="10">
        <v>20200883.77</v>
      </c>
      <c r="G89" s="10">
        <v>2575612.6800000002</v>
      </c>
      <c r="H89" s="11">
        <v>12.75</v>
      </c>
      <c r="I89" s="11">
        <v>10.35</v>
      </c>
      <c r="J89" s="10">
        <v>13185.62</v>
      </c>
      <c r="K89" s="10">
        <v>9095.0499999999993</v>
      </c>
      <c r="L89" s="10">
        <v>20104195.059999999</v>
      </c>
      <c r="M89" s="10">
        <v>20183392.219999999</v>
      </c>
      <c r="N89" s="10">
        <v>96688.71</v>
      </c>
      <c r="O89" s="10">
        <v>20115040.780000001</v>
      </c>
      <c r="P89" s="10">
        <v>20110904.190000001</v>
      </c>
      <c r="Q89" s="10">
        <v>4136.59</v>
      </c>
      <c r="R89" s="10">
        <v>2090791.47</v>
      </c>
      <c r="S89" s="10">
        <v>484821.21</v>
      </c>
      <c r="T89" s="10">
        <v>107391.03</v>
      </c>
      <c r="U89" s="10">
        <v>43401.14</v>
      </c>
      <c r="V89" s="10">
        <v>8751.6299999999992</v>
      </c>
      <c r="W89" s="10">
        <v>2094.09</v>
      </c>
      <c r="X89" s="10">
        <v>4016.89</v>
      </c>
      <c r="Y89" s="9">
        <v>1494959</v>
      </c>
    </row>
    <row r="90" spans="1:25" ht="16.05" customHeight="1" x14ac:dyDescent="0.3">
      <c r="A90" s="2">
        <v>2708</v>
      </c>
      <c r="B90" s="2">
        <v>39</v>
      </c>
      <c r="C90" s="2">
        <v>2022</v>
      </c>
      <c r="D90" s="3" t="s">
        <v>26</v>
      </c>
      <c r="E90" s="4">
        <v>813</v>
      </c>
      <c r="F90" s="5">
        <v>9683343.0899999999</v>
      </c>
      <c r="G90" s="5">
        <v>578095.57999999996</v>
      </c>
      <c r="H90" s="6">
        <v>5.97</v>
      </c>
      <c r="I90" s="6">
        <v>18.43</v>
      </c>
      <c r="J90" s="5">
        <v>1047.53</v>
      </c>
      <c r="K90" s="5">
        <v>6796.31</v>
      </c>
      <c r="L90" s="5">
        <v>9668663.25</v>
      </c>
      <c r="M90" s="5">
        <v>9669214.1500000004</v>
      </c>
      <c r="N90" s="5">
        <v>14679.84</v>
      </c>
      <c r="O90" s="5">
        <v>9681178.6799999997</v>
      </c>
      <c r="P90" s="5">
        <v>9668682.1199999992</v>
      </c>
      <c r="Q90" s="5">
        <v>12496.56</v>
      </c>
      <c r="R90" s="5">
        <v>1784640.13</v>
      </c>
      <c r="S90" s="5">
        <v>-1206544.55</v>
      </c>
      <c r="T90" s="5">
        <v>16652.7</v>
      </c>
      <c r="U90" s="5">
        <v>36794.18</v>
      </c>
      <c r="V90" s="5">
        <v>9584.7000000000007</v>
      </c>
      <c r="W90" s="5">
        <v>2930.73</v>
      </c>
      <c r="X90" s="5">
        <v>3212.23</v>
      </c>
      <c r="Y90" s="4">
        <v>3856223</v>
      </c>
    </row>
    <row r="91" spans="1:25" ht="16.05" customHeight="1" x14ac:dyDescent="0.3">
      <c r="A91" s="7">
        <v>2778</v>
      </c>
      <c r="B91" s="7">
        <v>40</v>
      </c>
      <c r="C91" s="7">
        <v>2022</v>
      </c>
      <c r="D91" s="8" t="s">
        <v>26</v>
      </c>
      <c r="E91" s="9">
        <v>2939</v>
      </c>
      <c r="F91" s="10">
        <v>56023749.390000001</v>
      </c>
      <c r="G91" s="10">
        <v>6711645.1799999997</v>
      </c>
      <c r="H91" s="11">
        <v>11.98</v>
      </c>
      <c r="I91" s="11">
        <v>13.49</v>
      </c>
      <c r="J91" s="10">
        <v>12598.96</v>
      </c>
      <c r="K91" s="10">
        <v>13895.27</v>
      </c>
      <c r="L91" s="10">
        <v>56013314.119999997</v>
      </c>
      <c r="M91" s="10">
        <v>56014383.57</v>
      </c>
      <c r="N91" s="10">
        <v>10435.27</v>
      </c>
      <c r="O91" s="10">
        <v>56024056.719999999</v>
      </c>
      <c r="P91" s="10">
        <v>56014962.82</v>
      </c>
      <c r="Q91" s="10">
        <v>9093.9</v>
      </c>
      <c r="R91" s="10">
        <v>7557603.79</v>
      </c>
      <c r="S91" s="10">
        <v>-845958.62</v>
      </c>
      <c r="T91" s="10">
        <v>18749.39</v>
      </c>
      <c r="U91" s="10">
        <v>44083.27</v>
      </c>
      <c r="V91" s="10">
        <v>4854.47</v>
      </c>
      <c r="W91" s="10">
        <v>5888.13</v>
      </c>
      <c r="X91" s="10">
        <v>1633.69</v>
      </c>
      <c r="Y91" s="9">
        <v>4431273</v>
      </c>
    </row>
    <row r="92" spans="1:25" ht="16.05" customHeight="1" x14ac:dyDescent="0.3">
      <c r="A92" s="2">
        <v>2848</v>
      </c>
      <c r="B92" s="2">
        <v>41</v>
      </c>
      <c r="C92" s="2">
        <v>2022</v>
      </c>
      <c r="D92" s="3" t="s">
        <v>26</v>
      </c>
      <c r="E92" s="4">
        <v>4028</v>
      </c>
      <c r="F92" s="5">
        <v>159933042.40000001</v>
      </c>
      <c r="G92" s="5">
        <v>31970615.18</v>
      </c>
      <c r="H92" s="6">
        <v>19.989999999999998</v>
      </c>
      <c r="I92" s="6">
        <v>9.94</v>
      </c>
      <c r="J92" s="5">
        <v>6197.45</v>
      </c>
      <c r="K92" s="5">
        <v>3881.36</v>
      </c>
      <c r="L92" s="5">
        <v>159917774.69999999</v>
      </c>
      <c r="M92" s="5">
        <v>159916132.19999999</v>
      </c>
      <c r="N92" s="5">
        <v>15267.77</v>
      </c>
      <c r="O92" s="5">
        <v>159930457.5</v>
      </c>
      <c r="P92" s="5">
        <v>159925469.09999999</v>
      </c>
      <c r="Q92" s="5">
        <v>4988.47</v>
      </c>
      <c r="R92" s="5">
        <v>15897344.42</v>
      </c>
      <c r="S92" s="5">
        <v>16073270.76</v>
      </c>
      <c r="T92" s="5">
        <v>26138.14</v>
      </c>
      <c r="U92" s="5">
        <v>24364.799999999999</v>
      </c>
      <c r="V92" s="5">
        <v>8702.82</v>
      </c>
      <c r="W92" s="5">
        <v>3980.04</v>
      </c>
      <c r="X92" s="5">
        <v>2750.87</v>
      </c>
      <c r="Y92" s="4">
        <v>4103994</v>
      </c>
    </row>
    <row r="93" spans="1:25" ht="16.05" customHeight="1" x14ac:dyDescent="0.3">
      <c r="A93" s="7">
        <v>2918</v>
      </c>
      <c r="B93" s="7">
        <v>42</v>
      </c>
      <c r="C93" s="7">
        <v>2022</v>
      </c>
      <c r="D93" s="8" t="s">
        <v>26</v>
      </c>
      <c r="E93" s="9">
        <v>6176</v>
      </c>
      <c r="F93" s="10">
        <v>79183471.799999997</v>
      </c>
      <c r="G93" s="10">
        <v>20223458.699999999</v>
      </c>
      <c r="H93" s="11">
        <v>25.54</v>
      </c>
      <c r="I93" s="11">
        <v>5.51</v>
      </c>
      <c r="J93" s="10">
        <v>10817.51</v>
      </c>
      <c r="K93" s="10">
        <v>4157.3500000000004</v>
      </c>
      <c r="L93" s="10">
        <v>79158981.140000001</v>
      </c>
      <c r="M93" s="10">
        <v>79168263.530000001</v>
      </c>
      <c r="N93" s="10">
        <v>24490.66</v>
      </c>
      <c r="O93" s="10">
        <v>79165691.469999999</v>
      </c>
      <c r="P93" s="10">
        <v>79152530.829999998</v>
      </c>
      <c r="Q93" s="10">
        <v>13160.64</v>
      </c>
      <c r="R93" s="10">
        <v>4363009.3</v>
      </c>
      <c r="S93" s="10">
        <v>15860449.4</v>
      </c>
      <c r="T93" s="10">
        <v>36503.26</v>
      </c>
      <c r="U93" s="10">
        <v>26739.55</v>
      </c>
      <c r="V93" s="10">
        <v>5065.18</v>
      </c>
      <c r="W93" s="10">
        <v>1645.15</v>
      </c>
      <c r="X93" s="10">
        <v>3204.31</v>
      </c>
      <c r="Y93" s="9">
        <v>2126898</v>
      </c>
    </row>
    <row r="94" spans="1:25" ht="16.05" customHeight="1" x14ac:dyDescent="0.3">
      <c r="A94" s="2">
        <v>2988</v>
      </c>
      <c r="B94" s="2">
        <v>43</v>
      </c>
      <c r="C94" s="2">
        <v>2022</v>
      </c>
      <c r="D94" s="3" t="s">
        <v>26</v>
      </c>
      <c r="E94" s="4">
        <v>1124</v>
      </c>
      <c r="F94" s="5">
        <v>76387434.140000001</v>
      </c>
      <c r="G94" s="5">
        <v>4277696.3099999996</v>
      </c>
      <c r="H94" s="6">
        <v>5.6</v>
      </c>
      <c r="I94" s="6">
        <v>7.46</v>
      </c>
      <c r="J94" s="5">
        <v>7471.23</v>
      </c>
      <c r="K94" s="5">
        <v>8079.25</v>
      </c>
      <c r="L94" s="5">
        <v>76327943.5</v>
      </c>
      <c r="M94" s="5">
        <v>76366591.159999996</v>
      </c>
      <c r="N94" s="5">
        <v>59490.64</v>
      </c>
      <c r="O94" s="5">
        <v>76343680.819999993</v>
      </c>
      <c r="P94" s="5">
        <v>76334694.549999997</v>
      </c>
      <c r="Q94" s="5">
        <v>8986.27</v>
      </c>
      <c r="R94" s="5">
        <v>5698502.5899999999</v>
      </c>
      <c r="S94" s="5">
        <v>-1420806.28</v>
      </c>
      <c r="T94" s="5">
        <v>34021.14</v>
      </c>
      <c r="U94" s="5">
        <v>52218.49</v>
      </c>
      <c r="V94" s="5">
        <v>11932.72</v>
      </c>
      <c r="W94" s="5">
        <v>3804.6</v>
      </c>
      <c r="X94" s="5">
        <v>3778.62</v>
      </c>
      <c r="Y94" s="4">
        <v>3251510</v>
      </c>
    </row>
    <row r="95" spans="1:25" ht="16.05" customHeight="1" x14ac:dyDescent="0.3">
      <c r="A95" s="7">
        <v>3058</v>
      </c>
      <c r="B95" s="7">
        <v>44</v>
      </c>
      <c r="C95" s="7">
        <v>2022</v>
      </c>
      <c r="D95" s="8" t="s">
        <v>26</v>
      </c>
      <c r="E95" s="9">
        <v>6097</v>
      </c>
      <c r="F95" s="10">
        <v>383743740</v>
      </c>
      <c r="G95" s="10">
        <v>27936544.27</v>
      </c>
      <c r="H95" s="11">
        <v>7.28</v>
      </c>
      <c r="I95" s="11">
        <v>17.579999999999998</v>
      </c>
      <c r="J95" s="10">
        <v>5816.09</v>
      </c>
      <c r="K95" s="10">
        <v>5972.29</v>
      </c>
      <c r="L95" s="10">
        <v>383644129.60000002</v>
      </c>
      <c r="M95" s="10">
        <v>383735385.10000002</v>
      </c>
      <c r="N95" s="10">
        <v>99610.45</v>
      </c>
      <c r="O95" s="10">
        <v>383650449.80000001</v>
      </c>
      <c r="P95" s="10">
        <v>383637521.89999998</v>
      </c>
      <c r="Q95" s="10">
        <v>12927.94</v>
      </c>
      <c r="R95" s="10">
        <v>67462149.5</v>
      </c>
      <c r="S95" s="10">
        <v>-39525605.219999999</v>
      </c>
      <c r="T95" s="10">
        <v>94663.19</v>
      </c>
      <c r="U95" s="10">
        <v>29208.89</v>
      </c>
      <c r="V95" s="10">
        <v>5583.9</v>
      </c>
      <c r="W95" s="10">
        <v>736.32</v>
      </c>
      <c r="X95" s="10">
        <v>2102.7199999999998</v>
      </c>
      <c r="Y95" s="9">
        <v>4411126</v>
      </c>
    </row>
    <row r="96" spans="1:25" ht="16.05" customHeight="1" x14ac:dyDescent="0.3">
      <c r="A96" s="2">
        <v>3128</v>
      </c>
      <c r="B96" s="2">
        <v>45</v>
      </c>
      <c r="C96" s="2">
        <v>2022</v>
      </c>
      <c r="D96" s="3" t="s">
        <v>26</v>
      </c>
      <c r="E96" s="4">
        <v>4297</v>
      </c>
      <c r="F96" s="5">
        <v>101325978.3</v>
      </c>
      <c r="G96" s="5">
        <v>12716410.279999999</v>
      </c>
      <c r="H96" s="6">
        <v>12.55</v>
      </c>
      <c r="I96" s="6">
        <v>9.77</v>
      </c>
      <c r="J96" s="5">
        <v>9385.26</v>
      </c>
      <c r="K96" s="5">
        <v>6458.58</v>
      </c>
      <c r="L96" s="5">
        <v>101276064.90000001</v>
      </c>
      <c r="M96" s="5">
        <v>101312786.59999999</v>
      </c>
      <c r="N96" s="5">
        <v>49913.46</v>
      </c>
      <c r="O96" s="5">
        <v>101292278.5</v>
      </c>
      <c r="P96" s="5">
        <v>101285121.3</v>
      </c>
      <c r="Q96" s="5">
        <v>7157.16</v>
      </c>
      <c r="R96" s="5">
        <v>9899548.0899999999</v>
      </c>
      <c r="S96" s="5">
        <v>2816862.2</v>
      </c>
      <c r="T96" s="5">
        <v>71898.83</v>
      </c>
      <c r="U96" s="5">
        <v>18218.22</v>
      </c>
      <c r="V96" s="5">
        <v>10592.68</v>
      </c>
      <c r="W96" s="5">
        <v>5620.92</v>
      </c>
      <c r="X96" s="5">
        <v>2384.4699999999998</v>
      </c>
      <c r="Y96" s="4">
        <v>1849566</v>
      </c>
    </row>
    <row r="97" spans="1:25" ht="16.05" customHeight="1" x14ac:dyDescent="0.3">
      <c r="A97" s="7">
        <v>3198</v>
      </c>
      <c r="B97" s="7">
        <v>46</v>
      </c>
      <c r="C97" s="7">
        <v>2022</v>
      </c>
      <c r="D97" s="8" t="s">
        <v>26</v>
      </c>
      <c r="E97" s="9">
        <v>346</v>
      </c>
      <c r="F97" s="10">
        <v>17212554.120000001</v>
      </c>
      <c r="G97" s="10">
        <v>5113849.83</v>
      </c>
      <c r="H97" s="11">
        <v>29.71</v>
      </c>
      <c r="I97" s="11">
        <v>12.11</v>
      </c>
      <c r="J97" s="10">
        <v>5574.48</v>
      </c>
      <c r="K97" s="10">
        <v>7783.63</v>
      </c>
      <c r="L97" s="10">
        <v>17125509.969999999</v>
      </c>
      <c r="M97" s="10">
        <v>17194477.75</v>
      </c>
      <c r="N97" s="10">
        <v>87044.15</v>
      </c>
      <c r="O97" s="10">
        <v>17141936.899999999</v>
      </c>
      <c r="P97" s="10">
        <v>17135901</v>
      </c>
      <c r="Q97" s="10">
        <v>6035.9</v>
      </c>
      <c r="R97" s="10">
        <v>2084440.3</v>
      </c>
      <c r="S97" s="10">
        <v>3029409.52</v>
      </c>
      <c r="T97" s="10">
        <v>19084.650000000001</v>
      </c>
      <c r="U97" s="10">
        <v>43585.13</v>
      </c>
      <c r="V97" s="10">
        <v>9210.74</v>
      </c>
      <c r="W97" s="10">
        <v>7216.19</v>
      </c>
      <c r="X97" s="10">
        <v>2089.1</v>
      </c>
      <c r="Y97" s="9">
        <v>4817599</v>
      </c>
    </row>
    <row r="98" spans="1:25" ht="16.05" customHeight="1" x14ac:dyDescent="0.3">
      <c r="A98" s="2">
        <v>3268</v>
      </c>
      <c r="B98" s="2">
        <v>47</v>
      </c>
      <c r="C98" s="2">
        <v>2022</v>
      </c>
      <c r="D98" s="3" t="s">
        <v>26</v>
      </c>
      <c r="E98" s="4">
        <v>3307</v>
      </c>
      <c r="F98" s="5">
        <v>213212003.30000001</v>
      </c>
      <c r="G98" s="5">
        <v>44667914.700000003</v>
      </c>
      <c r="H98" s="6">
        <v>20.95</v>
      </c>
      <c r="I98" s="6">
        <v>15.2</v>
      </c>
      <c r="J98" s="5">
        <v>1948.07</v>
      </c>
      <c r="K98" s="5">
        <v>3986.25</v>
      </c>
      <c r="L98" s="5">
        <v>213153277.40000001</v>
      </c>
      <c r="M98" s="5">
        <v>213202761.80000001</v>
      </c>
      <c r="N98" s="5">
        <v>58725.98</v>
      </c>
      <c r="O98" s="5">
        <v>213166852.90000001</v>
      </c>
      <c r="P98" s="5">
        <v>213165100.80000001</v>
      </c>
      <c r="Q98" s="5">
        <v>1752.15</v>
      </c>
      <c r="R98" s="5">
        <v>32408224.510000002</v>
      </c>
      <c r="S98" s="5">
        <v>12259690.189999999</v>
      </c>
      <c r="T98" s="5">
        <v>29742.66</v>
      </c>
      <c r="U98" s="5">
        <v>7408.76</v>
      </c>
      <c r="V98" s="5">
        <v>7371.07</v>
      </c>
      <c r="W98" s="5">
        <v>6204.48</v>
      </c>
      <c r="X98" s="5">
        <v>3694</v>
      </c>
      <c r="Y98" s="4">
        <v>1762950</v>
      </c>
    </row>
    <row r="99" spans="1:25" ht="16.05" customHeight="1" x14ac:dyDescent="0.3">
      <c r="A99" s="7">
        <v>3338</v>
      </c>
      <c r="B99" s="7">
        <v>48</v>
      </c>
      <c r="C99" s="7">
        <v>2022</v>
      </c>
      <c r="D99" s="8" t="s">
        <v>26</v>
      </c>
      <c r="E99" s="9">
        <v>930</v>
      </c>
      <c r="F99" s="10">
        <v>20899518.66</v>
      </c>
      <c r="G99" s="10">
        <v>5260408.8499999996</v>
      </c>
      <c r="H99" s="11">
        <v>25.17</v>
      </c>
      <c r="I99" s="11">
        <v>18.440000000000001</v>
      </c>
      <c r="J99" s="10">
        <v>14822.8</v>
      </c>
      <c r="K99" s="10">
        <v>13660.44</v>
      </c>
      <c r="L99" s="10">
        <v>20844229.390000001</v>
      </c>
      <c r="M99" s="10">
        <v>20876670.91</v>
      </c>
      <c r="N99" s="10">
        <v>55289.27</v>
      </c>
      <c r="O99" s="10">
        <v>20857233.23</v>
      </c>
      <c r="P99" s="10">
        <v>20851871.379999999</v>
      </c>
      <c r="Q99" s="10">
        <v>5361.85</v>
      </c>
      <c r="R99" s="10">
        <v>3853871.24</v>
      </c>
      <c r="S99" s="10">
        <v>1406537.61</v>
      </c>
      <c r="T99" s="10">
        <v>97883.6</v>
      </c>
      <c r="U99" s="10">
        <v>28889.91</v>
      </c>
      <c r="V99" s="10">
        <v>6224.51</v>
      </c>
      <c r="W99" s="10">
        <v>6779.33</v>
      </c>
      <c r="X99" s="10">
        <v>4758.2700000000004</v>
      </c>
      <c r="Y99" s="9">
        <v>2835165</v>
      </c>
    </row>
    <row r="100" spans="1:25" ht="16.05" customHeight="1" x14ac:dyDescent="0.3">
      <c r="A100" s="2">
        <v>3408</v>
      </c>
      <c r="B100" s="2">
        <v>49</v>
      </c>
      <c r="C100" s="2">
        <v>2022</v>
      </c>
      <c r="D100" s="3" t="s">
        <v>26</v>
      </c>
      <c r="E100" s="4">
        <v>5593</v>
      </c>
      <c r="F100" s="5">
        <v>356772994.30000001</v>
      </c>
      <c r="G100" s="5">
        <v>68714478.689999998</v>
      </c>
      <c r="H100" s="6">
        <v>19.260000000000002</v>
      </c>
      <c r="I100" s="6">
        <v>12.38</v>
      </c>
      <c r="J100" s="5">
        <v>12135.12</v>
      </c>
      <c r="K100" s="5">
        <v>4769.74</v>
      </c>
      <c r="L100" s="5">
        <v>356734915</v>
      </c>
      <c r="M100" s="5">
        <v>356767510.89999998</v>
      </c>
      <c r="N100" s="5">
        <v>38079.269999999997</v>
      </c>
      <c r="O100" s="5">
        <v>356743019.10000002</v>
      </c>
      <c r="P100" s="5">
        <v>356734862.80000001</v>
      </c>
      <c r="Q100" s="5">
        <v>8156.29</v>
      </c>
      <c r="R100" s="5">
        <v>44168496.689999998</v>
      </c>
      <c r="S100" s="5">
        <v>24545982</v>
      </c>
      <c r="T100" s="5">
        <v>31799.66</v>
      </c>
      <c r="U100" s="5">
        <v>30723.439999999999</v>
      </c>
      <c r="V100" s="5">
        <v>4348.33</v>
      </c>
      <c r="W100" s="5">
        <v>3755.76</v>
      </c>
      <c r="X100" s="5">
        <v>2897.06</v>
      </c>
      <c r="Y100" s="4">
        <v>2352809</v>
      </c>
    </row>
    <row r="101" spans="1:25" ht="16.05" customHeight="1" x14ac:dyDescent="0.3">
      <c r="A101" s="7">
        <v>3478</v>
      </c>
      <c r="B101" s="7">
        <v>50</v>
      </c>
      <c r="C101" s="7">
        <v>2022</v>
      </c>
      <c r="D101" s="8" t="s">
        <v>26</v>
      </c>
      <c r="E101" s="9">
        <v>5850</v>
      </c>
      <c r="F101" s="10">
        <v>229173204.40000001</v>
      </c>
      <c r="G101" s="10">
        <v>27867461.66</v>
      </c>
      <c r="H101" s="11">
        <v>12.16</v>
      </c>
      <c r="I101" s="11">
        <v>16.71</v>
      </c>
      <c r="J101" s="10">
        <v>9002.76</v>
      </c>
      <c r="K101" s="10">
        <v>5823.98</v>
      </c>
      <c r="L101" s="10">
        <v>229151574.69999999</v>
      </c>
      <c r="M101" s="10">
        <v>229154654.09999999</v>
      </c>
      <c r="N101" s="10">
        <v>21629.69</v>
      </c>
      <c r="O101" s="10">
        <v>229162716.69999999</v>
      </c>
      <c r="P101" s="10">
        <v>229149937.19999999</v>
      </c>
      <c r="Q101" s="10">
        <v>12779.44</v>
      </c>
      <c r="R101" s="10">
        <v>38294842.460000001</v>
      </c>
      <c r="S101" s="10">
        <v>-10427380.800000001</v>
      </c>
      <c r="T101" s="10">
        <v>95058.45</v>
      </c>
      <c r="U101" s="10">
        <v>5268.32</v>
      </c>
      <c r="V101" s="10">
        <v>3286.61</v>
      </c>
      <c r="W101" s="10">
        <v>7855.31</v>
      </c>
      <c r="X101" s="10">
        <v>4329.71</v>
      </c>
      <c r="Y101" s="9">
        <v>2549185</v>
      </c>
    </row>
    <row r="102" spans="1:25" ht="16.05" customHeight="1" x14ac:dyDescent="0.3">
      <c r="A102" s="2">
        <v>38</v>
      </c>
      <c r="B102" s="2">
        <v>1</v>
      </c>
      <c r="C102" s="2">
        <v>2022</v>
      </c>
      <c r="D102" s="3" t="s">
        <v>27</v>
      </c>
      <c r="E102" s="4">
        <v>3963</v>
      </c>
      <c r="F102" s="5">
        <v>218391015.59999999</v>
      </c>
      <c r="G102" s="5">
        <v>31317271.640000001</v>
      </c>
      <c r="H102" s="6">
        <v>14.34</v>
      </c>
      <c r="I102" s="6">
        <v>7.75</v>
      </c>
      <c r="J102" s="5">
        <v>9332.02</v>
      </c>
      <c r="K102" s="5">
        <v>15309.02</v>
      </c>
      <c r="L102" s="5">
        <v>218322860.40000001</v>
      </c>
      <c r="M102" s="5">
        <v>218367037.09999999</v>
      </c>
      <c r="N102" s="5">
        <v>68155.19</v>
      </c>
      <c r="O102" s="5">
        <v>218341262.09999999</v>
      </c>
      <c r="P102" s="5">
        <v>218329378.59999999</v>
      </c>
      <c r="Q102" s="5">
        <v>11883.41</v>
      </c>
      <c r="R102" s="5">
        <v>16925303.710000001</v>
      </c>
      <c r="S102" s="5">
        <v>14391967.93</v>
      </c>
      <c r="T102" s="5">
        <v>94465.13</v>
      </c>
      <c r="U102" s="5">
        <v>9686.41</v>
      </c>
      <c r="V102" s="5">
        <v>10607.14</v>
      </c>
      <c r="W102" s="5">
        <v>7794.48</v>
      </c>
      <c r="X102" s="5">
        <v>2348.61</v>
      </c>
      <c r="Y102" s="4">
        <v>1734491</v>
      </c>
    </row>
    <row r="103" spans="1:25" ht="16.05" customHeight="1" x14ac:dyDescent="0.3">
      <c r="A103" s="7">
        <v>108</v>
      </c>
      <c r="B103" s="7">
        <v>2</v>
      </c>
      <c r="C103" s="7">
        <v>2022</v>
      </c>
      <c r="D103" s="8" t="s">
        <v>27</v>
      </c>
      <c r="E103" s="9">
        <v>2380</v>
      </c>
      <c r="F103" s="10">
        <v>41299568.869999997</v>
      </c>
      <c r="G103" s="10">
        <v>10618119.16</v>
      </c>
      <c r="H103" s="11">
        <v>25.71</v>
      </c>
      <c r="I103" s="11">
        <v>6.83</v>
      </c>
      <c r="J103" s="10">
        <v>14033.42</v>
      </c>
      <c r="K103" s="10">
        <v>7857.46</v>
      </c>
      <c r="L103" s="10">
        <v>41211407.649999999</v>
      </c>
      <c r="M103" s="10">
        <v>41289900.859999999</v>
      </c>
      <c r="N103" s="10">
        <v>88161.22</v>
      </c>
      <c r="O103" s="10">
        <v>41225123.670000002</v>
      </c>
      <c r="P103" s="10">
        <v>41219461.060000002</v>
      </c>
      <c r="Q103" s="10">
        <v>5662.61</v>
      </c>
      <c r="R103" s="10">
        <v>2820760.55</v>
      </c>
      <c r="S103" s="10">
        <v>7797358.5999999996</v>
      </c>
      <c r="T103" s="10">
        <v>17837.95</v>
      </c>
      <c r="U103" s="10">
        <v>14036.18</v>
      </c>
      <c r="V103" s="10">
        <v>9992.0499999999993</v>
      </c>
      <c r="W103" s="10">
        <v>3723.97</v>
      </c>
      <c r="X103" s="10">
        <v>2483.73</v>
      </c>
      <c r="Y103" s="9">
        <v>3756859</v>
      </c>
    </row>
    <row r="104" spans="1:25" ht="16.05" customHeight="1" x14ac:dyDescent="0.3">
      <c r="A104" s="2">
        <v>178</v>
      </c>
      <c r="B104" s="2">
        <v>3</v>
      </c>
      <c r="C104" s="2">
        <v>2022</v>
      </c>
      <c r="D104" s="3" t="s">
        <v>27</v>
      </c>
      <c r="E104" s="4">
        <v>596</v>
      </c>
      <c r="F104" s="5">
        <v>39033834.07</v>
      </c>
      <c r="G104" s="5">
        <v>6538167.21</v>
      </c>
      <c r="H104" s="6">
        <v>16.75</v>
      </c>
      <c r="I104" s="6">
        <v>15.92</v>
      </c>
      <c r="J104" s="5">
        <v>9637.7800000000007</v>
      </c>
      <c r="K104" s="5">
        <v>9271.68</v>
      </c>
      <c r="L104" s="5">
        <v>39012527.409999996</v>
      </c>
      <c r="M104" s="5">
        <v>39028692.649999999</v>
      </c>
      <c r="N104" s="5">
        <v>21306.66</v>
      </c>
      <c r="O104" s="5">
        <v>39018245.049999997</v>
      </c>
      <c r="P104" s="5">
        <v>39013938.020000003</v>
      </c>
      <c r="Q104" s="5">
        <v>4307.03</v>
      </c>
      <c r="R104" s="5">
        <v>6214186.3799999999</v>
      </c>
      <c r="S104" s="5">
        <v>323980.82</v>
      </c>
      <c r="T104" s="5">
        <v>54408.28</v>
      </c>
      <c r="U104" s="5">
        <v>59820.37</v>
      </c>
      <c r="V104" s="5">
        <v>2477.5300000000002</v>
      </c>
      <c r="W104" s="5">
        <v>3240.11</v>
      </c>
      <c r="X104" s="5">
        <v>3634.67</v>
      </c>
      <c r="Y104" s="4">
        <v>3606214</v>
      </c>
    </row>
    <row r="105" spans="1:25" ht="16.05" customHeight="1" x14ac:dyDescent="0.3">
      <c r="A105" s="7">
        <v>248</v>
      </c>
      <c r="B105" s="7">
        <v>4</v>
      </c>
      <c r="C105" s="7">
        <v>2022</v>
      </c>
      <c r="D105" s="8" t="s">
        <v>27</v>
      </c>
      <c r="E105" s="9">
        <v>5364</v>
      </c>
      <c r="F105" s="10">
        <v>137156194.90000001</v>
      </c>
      <c r="G105" s="10">
        <v>20545998</v>
      </c>
      <c r="H105" s="11">
        <v>14.98</v>
      </c>
      <c r="I105" s="11">
        <v>14.64</v>
      </c>
      <c r="J105" s="10">
        <v>6137.69</v>
      </c>
      <c r="K105" s="10">
        <v>6919.28</v>
      </c>
      <c r="L105" s="10">
        <v>137138344.19999999</v>
      </c>
      <c r="M105" s="10">
        <v>137132214.09999999</v>
      </c>
      <c r="N105" s="10">
        <v>17850.66</v>
      </c>
      <c r="O105" s="10">
        <v>137148820.5</v>
      </c>
      <c r="P105" s="10">
        <v>137139457</v>
      </c>
      <c r="Q105" s="10">
        <v>9363.49</v>
      </c>
      <c r="R105" s="10">
        <v>20079666.93</v>
      </c>
      <c r="S105" s="10">
        <v>466331.06</v>
      </c>
      <c r="T105" s="10">
        <v>66164.94</v>
      </c>
      <c r="U105" s="10">
        <v>32242.85</v>
      </c>
      <c r="V105" s="10">
        <v>9678.2999999999993</v>
      </c>
      <c r="W105" s="10">
        <v>797.93</v>
      </c>
      <c r="X105" s="10">
        <v>2579.7800000000002</v>
      </c>
      <c r="Y105" s="9">
        <v>2622237</v>
      </c>
    </row>
    <row r="106" spans="1:25" ht="16.05" customHeight="1" x14ac:dyDescent="0.3">
      <c r="A106" s="2">
        <v>318</v>
      </c>
      <c r="B106" s="2">
        <v>5</v>
      </c>
      <c r="C106" s="2">
        <v>2022</v>
      </c>
      <c r="D106" s="3" t="s">
        <v>27</v>
      </c>
      <c r="E106" s="4">
        <v>1074</v>
      </c>
      <c r="F106" s="5">
        <v>67391456.569999993</v>
      </c>
      <c r="G106" s="5">
        <v>8693497.9000000004</v>
      </c>
      <c r="H106" s="6">
        <v>12.9</v>
      </c>
      <c r="I106" s="6">
        <v>19.82</v>
      </c>
      <c r="J106" s="5">
        <v>2296.79</v>
      </c>
      <c r="K106" s="5">
        <v>19213.939999999999</v>
      </c>
      <c r="L106" s="5">
        <v>67363495.040000007</v>
      </c>
      <c r="M106" s="5">
        <v>67372818.719999999</v>
      </c>
      <c r="N106" s="5">
        <v>27961.53</v>
      </c>
      <c r="O106" s="5">
        <v>67373952.579999998</v>
      </c>
      <c r="P106" s="5">
        <v>67367944.069999993</v>
      </c>
      <c r="Q106" s="5">
        <v>6008.51</v>
      </c>
      <c r="R106" s="5">
        <v>13356986.689999999</v>
      </c>
      <c r="S106" s="5">
        <v>-4663488.8</v>
      </c>
      <c r="T106" s="5">
        <v>75229.67</v>
      </c>
      <c r="U106" s="5">
        <v>57104.86</v>
      </c>
      <c r="V106" s="5">
        <v>3895.82</v>
      </c>
      <c r="W106" s="5">
        <v>6561.72</v>
      </c>
      <c r="X106" s="5">
        <v>4190.53</v>
      </c>
      <c r="Y106" s="4">
        <v>4533074</v>
      </c>
    </row>
    <row r="107" spans="1:25" ht="16.05" customHeight="1" x14ac:dyDescent="0.3">
      <c r="A107" s="7">
        <v>388</v>
      </c>
      <c r="B107" s="7">
        <v>6</v>
      </c>
      <c r="C107" s="7">
        <v>2022</v>
      </c>
      <c r="D107" s="8" t="s">
        <v>27</v>
      </c>
      <c r="E107" s="9">
        <v>4960</v>
      </c>
      <c r="F107" s="10">
        <v>178613834</v>
      </c>
      <c r="G107" s="10">
        <v>21773026.370000001</v>
      </c>
      <c r="H107" s="11">
        <v>12.19</v>
      </c>
      <c r="I107" s="11">
        <v>18.79</v>
      </c>
      <c r="J107" s="10">
        <v>5560.42</v>
      </c>
      <c r="K107" s="10">
        <v>10128.33</v>
      </c>
      <c r="L107" s="10">
        <v>178552407.5</v>
      </c>
      <c r="M107" s="10">
        <v>178595395.90000001</v>
      </c>
      <c r="N107" s="10">
        <v>61426.49</v>
      </c>
      <c r="O107" s="10">
        <v>178566296.80000001</v>
      </c>
      <c r="P107" s="10">
        <v>178563646.09999999</v>
      </c>
      <c r="Q107" s="10">
        <v>2650.64</v>
      </c>
      <c r="R107" s="10">
        <v>33561539.409999996</v>
      </c>
      <c r="S107" s="10">
        <v>-11788513.039999999</v>
      </c>
      <c r="T107" s="10">
        <v>55883.73</v>
      </c>
      <c r="U107" s="10">
        <v>41266.53</v>
      </c>
      <c r="V107" s="10">
        <v>7612.82</v>
      </c>
      <c r="W107" s="10">
        <v>6276.42</v>
      </c>
      <c r="X107" s="10">
        <v>4302.03</v>
      </c>
      <c r="Y107" s="9">
        <v>1825611</v>
      </c>
    </row>
    <row r="108" spans="1:25" ht="16.05" customHeight="1" x14ac:dyDescent="0.3">
      <c r="A108" s="2">
        <v>458</v>
      </c>
      <c r="B108" s="2">
        <v>7</v>
      </c>
      <c r="C108" s="2">
        <v>2022</v>
      </c>
      <c r="D108" s="3" t="s">
        <v>27</v>
      </c>
      <c r="E108" s="4">
        <v>2858</v>
      </c>
      <c r="F108" s="5">
        <v>161237304.09999999</v>
      </c>
      <c r="G108" s="5">
        <v>28813106.239999998</v>
      </c>
      <c r="H108" s="6">
        <v>17.87</v>
      </c>
      <c r="I108" s="6">
        <v>14.87</v>
      </c>
      <c r="J108" s="5">
        <v>7724.68</v>
      </c>
      <c r="K108" s="5">
        <v>4671.37</v>
      </c>
      <c r="L108" s="5">
        <v>161188256.80000001</v>
      </c>
      <c r="M108" s="5">
        <v>161230313.09999999</v>
      </c>
      <c r="N108" s="5">
        <v>49047.27</v>
      </c>
      <c r="O108" s="5">
        <v>161198144.09999999</v>
      </c>
      <c r="P108" s="5">
        <v>161183255.40000001</v>
      </c>
      <c r="Q108" s="5">
        <v>14888.73</v>
      </c>
      <c r="R108" s="5">
        <v>23975987.120000001</v>
      </c>
      <c r="S108" s="5">
        <v>4837119.12</v>
      </c>
      <c r="T108" s="5">
        <v>56535.55</v>
      </c>
      <c r="U108" s="5">
        <v>5654.33</v>
      </c>
      <c r="V108" s="5">
        <v>9357.4</v>
      </c>
      <c r="W108" s="5">
        <v>529.86</v>
      </c>
      <c r="X108" s="5">
        <v>1046.1500000000001</v>
      </c>
      <c r="Y108" s="4">
        <v>2964765</v>
      </c>
    </row>
    <row r="109" spans="1:25" ht="16.05" customHeight="1" x14ac:dyDescent="0.3">
      <c r="A109" s="7">
        <v>528</v>
      </c>
      <c r="B109" s="7">
        <v>8</v>
      </c>
      <c r="C109" s="7">
        <v>2022</v>
      </c>
      <c r="D109" s="8" t="s">
        <v>27</v>
      </c>
      <c r="E109" s="9">
        <v>4413</v>
      </c>
      <c r="F109" s="10">
        <v>198831897.19999999</v>
      </c>
      <c r="G109" s="10">
        <v>24973286.289999999</v>
      </c>
      <c r="H109" s="11">
        <v>12.56</v>
      </c>
      <c r="I109" s="11">
        <v>13.33</v>
      </c>
      <c r="J109" s="10">
        <v>7634.7</v>
      </c>
      <c r="K109" s="10">
        <v>18278.46</v>
      </c>
      <c r="L109" s="10">
        <v>198748365.40000001</v>
      </c>
      <c r="M109" s="10">
        <v>198811806.40000001</v>
      </c>
      <c r="N109" s="10">
        <v>83531.8</v>
      </c>
      <c r="O109" s="10">
        <v>198752510</v>
      </c>
      <c r="P109" s="10">
        <v>198744940.80000001</v>
      </c>
      <c r="Q109" s="10">
        <v>7569.24</v>
      </c>
      <c r="R109" s="10">
        <v>26504291.899999999</v>
      </c>
      <c r="S109" s="10">
        <v>-1531005.61</v>
      </c>
      <c r="T109" s="10">
        <v>114643.6</v>
      </c>
      <c r="U109" s="10">
        <v>53731.8</v>
      </c>
      <c r="V109" s="10">
        <v>2401.66</v>
      </c>
      <c r="W109" s="10">
        <v>1742.99</v>
      </c>
      <c r="X109" s="10">
        <v>4609.03</v>
      </c>
      <c r="Y109" s="9">
        <v>3224809</v>
      </c>
    </row>
    <row r="110" spans="1:25" ht="16.05" customHeight="1" x14ac:dyDescent="0.3">
      <c r="A110" s="2">
        <v>598</v>
      </c>
      <c r="B110" s="2">
        <v>9</v>
      </c>
      <c r="C110" s="2">
        <v>2022</v>
      </c>
      <c r="D110" s="3" t="s">
        <v>27</v>
      </c>
      <c r="E110" s="4">
        <v>1110</v>
      </c>
      <c r="F110" s="5">
        <v>37182168.079999998</v>
      </c>
      <c r="G110" s="5">
        <v>4997283.3899999997</v>
      </c>
      <c r="H110" s="6">
        <v>13.44</v>
      </c>
      <c r="I110" s="6">
        <v>12.27</v>
      </c>
      <c r="J110" s="5">
        <v>11613.44</v>
      </c>
      <c r="K110" s="5">
        <v>5137.34</v>
      </c>
      <c r="L110" s="5">
        <v>37129834.159999996</v>
      </c>
      <c r="M110" s="5">
        <v>37168554.850000001</v>
      </c>
      <c r="N110" s="5">
        <v>52333.919999999998</v>
      </c>
      <c r="O110" s="5">
        <v>37135834.990000002</v>
      </c>
      <c r="P110" s="5">
        <v>37128034.780000001</v>
      </c>
      <c r="Q110" s="5">
        <v>7800.21</v>
      </c>
      <c r="R110" s="5">
        <v>4562252.0199999996</v>
      </c>
      <c r="S110" s="5">
        <v>435031.37</v>
      </c>
      <c r="T110" s="5">
        <v>61755.47</v>
      </c>
      <c r="U110" s="5">
        <v>50011.16</v>
      </c>
      <c r="V110" s="5">
        <v>2608.02</v>
      </c>
      <c r="W110" s="5">
        <v>3392.81</v>
      </c>
      <c r="X110" s="5">
        <v>2330.67</v>
      </c>
      <c r="Y110" s="4">
        <v>2435672</v>
      </c>
    </row>
    <row r="111" spans="1:25" ht="16.05" customHeight="1" x14ac:dyDescent="0.3">
      <c r="A111" s="7">
        <v>668</v>
      </c>
      <c r="B111" s="7">
        <v>10</v>
      </c>
      <c r="C111" s="7">
        <v>2022</v>
      </c>
      <c r="D111" s="8" t="s">
        <v>27</v>
      </c>
      <c r="E111" s="9">
        <v>6830</v>
      </c>
      <c r="F111" s="10">
        <v>269988341</v>
      </c>
      <c r="G111" s="10">
        <v>51243787.109999999</v>
      </c>
      <c r="H111" s="11">
        <v>18.98</v>
      </c>
      <c r="I111" s="11">
        <v>16.32</v>
      </c>
      <c r="J111" s="10">
        <v>5569.49</v>
      </c>
      <c r="K111" s="10">
        <v>6293.12</v>
      </c>
      <c r="L111" s="10">
        <v>269971554.39999998</v>
      </c>
      <c r="M111" s="10">
        <v>269970537.89999998</v>
      </c>
      <c r="N111" s="10">
        <v>16786.57</v>
      </c>
      <c r="O111" s="10">
        <v>269987032.30000001</v>
      </c>
      <c r="P111" s="10">
        <v>269975390.39999998</v>
      </c>
      <c r="Q111" s="10">
        <v>11641.86</v>
      </c>
      <c r="R111" s="10">
        <v>44062097.240000002</v>
      </c>
      <c r="S111" s="10">
        <v>7181689.8700000001</v>
      </c>
      <c r="T111" s="10">
        <v>21314.17</v>
      </c>
      <c r="U111" s="10">
        <v>30515.42</v>
      </c>
      <c r="V111" s="10">
        <v>11763.95</v>
      </c>
      <c r="W111" s="10">
        <v>3713.93</v>
      </c>
      <c r="X111" s="10">
        <v>3431.85</v>
      </c>
      <c r="Y111" s="9">
        <v>3936881</v>
      </c>
    </row>
    <row r="112" spans="1:25" ht="16.05" customHeight="1" x14ac:dyDescent="0.3">
      <c r="A112" s="2">
        <v>738</v>
      </c>
      <c r="B112" s="2">
        <v>11</v>
      </c>
      <c r="C112" s="2">
        <v>2022</v>
      </c>
      <c r="D112" s="3" t="s">
        <v>27</v>
      </c>
      <c r="E112" s="4">
        <v>2324</v>
      </c>
      <c r="F112" s="5">
        <v>143204758.30000001</v>
      </c>
      <c r="G112" s="5">
        <v>16096214.83</v>
      </c>
      <c r="H112" s="6">
        <v>11.24</v>
      </c>
      <c r="I112" s="6">
        <v>10.35</v>
      </c>
      <c r="J112" s="5">
        <v>9738.4500000000007</v>
      </c>
      <c r="K112" s="5">
        <v>10809.02</v>
      </c>
      <c r="L112" s="5">
        <v>143123950.19999999</v>
      </c>
      <c r="M112" s="5">
        <v>143200457.69999999</v>
      </c>
      <c r="N112" s="5">
        <v>80808.13</v>
      </c>
      <c r="O112" s="5">
        <v>143136555.80000001</v>
      </c>
      <c r="P112" s="5">
        <v>143121605.90000001</v>
      </c>
      <c r="Q112" s="5">
        <v>14949.9</v>
      </c>
      <c r="R112" s="5">
        <v>14821692.48</v>
      </c>
      <c r="S112" s="5">
        <v>1274522.3500000001</v>
      </c>
      <c r="T112" s="5">
        <v>98748.18</v>
      </c>
      <c r="U112" s="5">
        <v>16297.22</v>
      </c>
      <c r="V112" s="5">
        <v>9533.5499999999993</v>
      </c>
      <c r="W112" s="5">
        <v>3072.03</v>
      </c>
      <c r="X112" s="5">
        <v>4467.82</v>
      </c>
      <c r="Y112" s="4">
        <v>2617831</v>
      </c>
    </row>
    <row r="113" spans="1:25" ht="16.05" customHeight="1" x14ac:dyDescent="0.3">
      <c r="A113" s="7">
        <v>808</v>
      </c>
      <c r="B113" s="7">
        <v>12</v>
      </c>
      <c r="C113" s="7">
        <v>2022</v>
      </c>
      <c r="D113" s="8" t="s">
        <v>27</v>
      </c>
      <c r="E113" s="9">
        <v>4243</v>
      </c>
      <c r="F113" s="10">
        <v>136815864.69999999</v>
      </c>
      <c r="G113" s="10">
        <v>9672881.6400000006</v>
      </c>
      <c r="H113" s="11">
        <v>7.07</v>
      </c>
      <c r="I113" s="11">
        <v>18.91</v>
      </c>
      <c r="J113" s="10">
        <v>12788.74</v>
      </c>
      <c r="K113" s="10">
        <v>4139.93</v>
      </c>
      <c r="L113" s="10">
        <v>136762123.09999999</v>
      </c>
      <c r="M113" s="10">
        <v>136808805.40000001</v>
      </c>
      <c r="N113" s="10">
        <v>53741.66</v>
      </c>
      <c r="O113" s="10">
        <v>136774248.5</v>
      </c>
      <c r="P113" s="10">
        <v>136764349</v>
      </c>
      <c r="Q113" s="10">
        <v>9899.49</v>
      </c>
      <c r="R113" s="10">
        <v>25871880.02</v>
      </c>
      <c r="S113" s="10">
        <v>-16198998.390000001</v>
      </c>
      <c r="T113" s="10">
        <v>85216.960000000006</v>
      </c>
      <c r="U113" s="10">
        <v>34174.129999999997</v>
      </c>
      <c r="V113" s="10">
        <v>5315.14</v>
      </c>
      <c r="W113" s="10">
        <v>6810.3</v>
      </c>
      <c r="X113" s="10">
        <v>4795.51</v>
      </c>
      <c r="Y113" s="9">
        <v>2985483</v>
      </c>
    </row>
    <row r="114" spans="1:25" ht="16.05" customHeight="1" x14ac:dyDescent="0.3">
      <c r="A114" s="2">
        <v>878</v>
      </c>
      <c r="B114" s="2">
        <v>13</v>
      </c>
      <c r="C114" s="2">
        <v>2022</v>
      </c>
      <c r="D114" s="3" t="s">
        <v>27</v>
      </c>
      <c r="E114" s="4">
        <v>1219</v>
      </c>
      <c r="F114" s="5">
        <v>20434463.149999999</v>
      </c>
      <c r="G114" s="5">
        <v>1452890.33</v>
      </c>
      <c r="H114" s="6">
        <v>7.11</v>
      </c>
      <c r="I114" s="6">
        <v>9.82</v>
      </c>
      <c r="J114" s="5">
        <v>7671.4</v>
      </c>
      <c r="K114" s="5">
        <v>9718.3700000000008</v>
      </c>
      <c r="L114" s="5">
        <v>20369905.300000001</v>
      </c>
      <c r="M114" s="5">
        <v>20416418.030000001</v>
      </c>
      <c r="N114" s="5">
        <v>64557.85</v>
      </c>
      <c r="O114" s="5">
        <v>20377093.469999999</v>
      </c>
      <c r="P114" s="5">
        <v>20366527.68</v>
      </c>
      <c r="Q114" s="5">
        <v>10565.79</v>
      </c>
      <c r="R114" s="5">
        <v>2006664.28</v>
      </c>
      <c r="S114" s="5">
        <v>-553773.94999999995</v>
      </c>
      <c r="T114" s="5">
        <v>52278.06</v>
      </c>
      <c r="U114" s="5">
        <v>11957.31</v>
      </c>
      <c r="V114" s="5">
        <v>2373.2600000000002</v>
      </c>
      <c r="W114" s="5">
        <v>4814.91</v>
      </c>
      <c r="X114" s="5">
        <v>3598.02</v>
      </c>
      <c r="Y114" s="4">
        <v>4445446</v>
      </c>
    </row>
    <row r="115" spans="1:25" ht="16.05" customHeight="1" x14ac:dyDescent="0.3">
      <c r="A115" s="7">
        <v>948</v>
      </c>
      <c r="B115" s="7">
        <v>14</v>
      </c>
      <c r="C115" s="7">
        <v>2022</v>
      </c>
      <c r="D115" s="8" t="s">
        <v>27</v>
      </c>
      <c r="E115" s="9">
        <v>4411</v>
      </c>
      <c r="F115" s="10">
        <v>301286912.89999998</v>
      </c>
      <c r="G115" s="10">
        <v>16239364.609999999</v>
      </c>
      <c r="H115" s="11">
        <v>5.39</v>
      </c>
      <c r="I115" s="11">
        <v>13.39</v>
      </c>
      <c r="J115" s="10">
        <v>9526.61</v>
      </c>
      <c r="K115" s="10">
        <v>11192.73</v>
      </c>
      <c r="L115" s="10">
        <v>301220251.30000001</v>
      </c>
      <c r="M115" s="10">
        <v>301277499.30000001</v>
      </c>
      <c r="N115" s="10">
        <v>66661.62</v>
      </c>
      <c r="O115" s="10">
        <v>301232916.10000002</v>
      </c>
      <c r="P115" s="10">
        <v>301229123.80000001</v>
      </c>
      <c r="Q115" s="10">
        <v>3792.3</v>
      </c>
      <c r="R115" s="10">
        <v>40342317.640000001</v>
      </c>
      <c r="S115" s="10">
        <v>-24102953.039999999</v>
      </c>
      <c r="T115" s="10">
        <v>103244.49</v>
      </c>
      <c r="U115" s="10">
        <v>6872.6</v>
      </c>
      <c r="V115" s="10">
        <v>10227.15</v>
      </c>
      <c r="W115" s="10">
        <v>2437.66</v>
      </c>
      <c r="X115" s="10">
        <v>3977.69</v>
      </c>
      <c r="Y115" s="9">
        <v>4844656</v>
      </c>
    </row>
    <row r="116" spans="1:25" ht="16.05" customHeight="1" x14ac:dyDescent="0.3">
      <c r="A116" s="2">
        <v>1018</v>
      </c>
      <c r="B116" s="2">
        <v>15</v>
      </c>
      <c r="C116" s="2">
        <v>2022</v>
      </c>
      <c r="D116" s="3" t="s">
        <v>27</v>
      </c>
      <c r="E116" s="4">
        <v>4593</v>
      </c>
      <c r="F116" s="5">
        <v>231130949</v>
      </c>
      <c r="G116" s="5">
        <v>37535666.109999999</v>
      </c>
      <c r="H116" s="6">
        <v>16.239999999999998</v>
      </c>
      <c r="I116" s="6">
        <v>19.03</v>
      </c>
      <c r="J116" s="5">
        <v>1859.52</v>
      </c>
      <c r="K116" s="5">
        <v>5340.27</v>
      </c>
      <c r="L116" s="5">
        <v>231097264.90000001</v>
      </c>
      <c r="M116" s="5">
        <v>231124944.30000001</v>
      </c>
      <c r="N116" s="5">
        <v>33684.03</v>
      </c>
      <c r="O116" s="5">
        <v>231107819.30000001</v>
      </c>
      <c r="P116" s="5">
        <v>231096248.09999999</v>
      </c>
      <c r="Q116" s="5">
        <v>11571.19</v>
      </c>
      <c r="R116" s="5">
        <v>43984219.590000004</v>
      </c>
      <c r="S116" s="5">
        <v>-6448553.4800000004</v>
      </c>
      <c r="T116" s="5">
        <v>63976.98</v>
      </c>
      <c r="U116" s="5">
        <v>24418.12</v>
      </c>
      <c r="V116" s="5">
        <v>2808.33</v>
      </c>
      <c r="W116" s="5">
        <v>7746.02</v>
      </c>
      <c r="X116" s="5">
        <v>4795.0200000000004</v>
      </c>
      <c r="Y116" s="4">
        <v>4594328</v>
      </c>
    </row>
    <row r="117" spans="1:25" ht="16.05" customHeight="1" x14ac:dyDescent="0.3">
      <c r="A117" s="7">
        <v>1088</v>
      </c>
      <c r="B117" s="7">
        <v>16</v>
      </c>
      <c r="C117" s="7">
        <v>2022</v>
      </c>
      <c r="D117" s="8" t="s">
        <v>27</v>
      </c>
      <c r="E117" s="9">
        <v>164</v>
      </c>
      <c r="F117" s="10">
        <v>10127341.98</v>
      </c>
      <c r="G117" s="10">
        <v>1254777.67</v>
      </c>
      <c r="H117" s="11">
        <v>12.39</v>
      </c>
      <c r="I117" s="11">
        <v>5.99</v>
      </c>
      <c r="J117" s="10">
        <v>8137.21</v>
      </c>
      <c r="K117" s="10">
        <v>8063.63</v>
      </c>
      <c r="L117" s="10">
        <v>10049877.800000001</v>
      </c>
      <c r="M117" s="10">
        <v>10104484.99</v>
      </c>
      <c r="N117" s="10">
        <v>77464.179999999993</v>
      </c>
      <c r="O117" s="10">
        <v>10066114.609999999</v>
      </c>
      <c r="P117" s="10">
        <v>10060382.92</v>
      </c>
      <c r="Q117" s="10">
        <v>5731.69</v>
      </c>
      <c r="R117" s="10">
        <v>606627.78</v>
      </c>
      <c r="S117" s="10">
        <v>648149.89</v>
      </c>
      <c r="T117" s="10">
        <v>68173.03</v>
      </c>
      <c r="U117" s="10">
        <v>29677.98</v>
      </c>
      <c r="V117" s="10">
        <v>9778.73</v>
      </c>
      <c r="W117" s="10">
        <v>6458.08</v>
      </c>
      <c r="X117" s="10">
        <v>1699.57</v>
      </c>
      <c r="Y117" s="9">
        <v>2876596</v>
      </c>
    </row>
    <row r="118" spans="1:25" ht="16.05" customHeight="1" x14ac:dyDescent="0.3">
      <c r="A118" s="2">
        <v>1158</v>
      </c>
      <c r="B118" s="2">
        <v>17</v>
      </c>
      <c r="C118" s="2">
        <v>2022</v>
      </c>
      <c r="D118" s="3" t="s">
        <v>27</v>
      </c>
      <c r="E118" s="4">
        <v>5740</v>
      </c>
      <c r="F118" s="5">
        <v>341233947.60000002</v>
      </c>
      <c r="G118" s="5">
        <v>17539424.91</v>
      </c>
      <c r="H118" s="6">
        <v>5.14</v>
      </c>
      <c r="I118" s="6">
        <v>7.91</v>
      </c>
      <c r="J118" s="5">
        <v>14772.47</v>
      </c>
      <c r="K118" s="5">
        <v>12983.4</v>
      </c>
      <c r="L118" s="5">
        <v>341175179.5</v>
      </c>
      <c r="M118" s="5">
        <v>341227723.5</v>
      </c>
      <c r="N118" s="5">
        <v>58768.1</v>
      </c>
      <c r="O118" s="5">
        <v>341186939.80000001</v>
      </c>
      <c r="P118" s="5">
        <v>341178351.10000002</v>
      </c>
      <c r="Q118" s="5">
        <v>8588.67</v>
      </c>
      <c r="R118" s="5">
        <v>26991605.260000002</v>
      </c>
      <c r="S118" s="5">
        <v>-9452180.3499999996</v>
      </c>
      <c r="T118" s="5">
        <v>36458.620000000003</v>
      </c>
      <c r="U118" s="5">
        <v>28943.86</v>
      </c>
      <c r="V118" s="5">
        <v>8184.88</v>
      </c>
      <c r="W118" s="5">
        <v>3575.38</v>
      </c>
      <c r="X118" s="5">
        <v>3489.13</v>
      </c>
      <c r="Y118" s="4">
        <v>3550700</v>
      </c>
    </row>
    <row r="119" spans="1:25" ht="16.05" customHeight="1" x14ac:dyDescent="0.3">
      <c r="A119" s="7">
        <v>1228</v>
      </c>
      <c r="B119" s="7">
        <v>18</v>
      </c>
      <c r="C119" s="7">
        <v>2022</v>
      </c>
      <c r="D119" s="8" t="s">
        <v>27</v>
      </c>
      <c r="E119" s="9">
        <v>5201</v>
      </c>
      <c r="F119" s="10">
        <v>293659806.10000002</v>
      </c>
      <c r="G119" s="10">
        <v>54180234.219999999</v>
      </c>
      <c r="H119" s="11">
        <v>18.45</v>
      </c>
      <c r="I119" s="11">
        <v>9.41</v>
      </c>
      <c r="J119" s="10">
        <v>12785.27</v>
      </c>
      <c r="K119" s="10">
        <v>16729.57</v>
      </c>
      <c r="L119" s="10">
        <v>293580197.5</v>
      </c>
      <c r="M119" s="10">
        <v>293652370.5</v>
      </c>
      <c r="N119" s="10">
        <v>79608.539999999994</v>
      </c>
      <c r="O119" s="10">
        <v>293594915.80000001</v>
      </c>
      <c r="P119" s="10">
        <v>293588820.19999999</v>
      </c>
      <c r="Q119" s="10">
        <v>6095.59</v>
      </c>
      <c r="R119" s="10">
        <v>27633387.75</v>
      </c>
      <c r="S119" s="10">
        <v>26546846.469999999</v>
      </c>
      <c r="T119" s="10">
        <v>64709.75</v>
      </c>
      <c r="U119" s="10">
        <v>39221.949999999997</v>
      </c>
      <c r="V119" s="10">
        <v>9258.5</v>
      </c>
      <c r="W119" s="10">
        <v>5459.73</v>
      </c>
      <c r="X119" s="10">
        <v>4695.5</v>
      </c>
      <c r="Y119" s="9">
        <v>3056147</v>
      </c>
    </row>
    <row r="120" spans="1:25" ht="16.05" customHeight="1" x14ac:dyDescent="0.3">
      <c r="A120" s="2">
        <v>1298</v>
      </c>
      <c r="B120" s="2">
        <v>19</v>
      </c>
      <c r="C120" s="2">
        <v>2022</v>
      </c>
      <c r="D120" s="3" t="s">
        <v>27</v>
      </c>
      <c r="E120" s="4">
        <v>4167</v>
      </c>
      <c r="F120" s="5">
        <v>237808331.59999999</v>
      </c>
      <c r="G120" s="5">
        <v>61306987.880000003</v>
      </c>
      <c r="H120" s="6">
        <v>25.78</v>
      </c>
      <c r="I120" s="6">
        <v>15.14</v>
      </c>
      <c r="J120" s="5">
        <v>13171.09</v>
      </c>
      <c r="K120" s="5">
        <v>12603.21</v>
      </c>
      <c r="L120" s="5">
        <v>237796589.90000001</v>
      </c>
      <c r="M120" s="5">
        <v>237783685.5</v>
      </c>
      <c r="N120" s="5">
        <v>11741.63</v>
      </c>
      <c r="O120" s="5">
        <v>237805630.59999999</v>
      </c>
      <c r="P120" s="5">
        <v>237801452.69999999</v>
      </c>
      <c r="Q120" s="5">
        <v>4177.92</v>
      </c>
      <c r="R120" s="5">
        <v>36004181.399999999</v>
      </c>
      <c r="S120" s="5">
        <v>25302806.48</v>
      </c>
      <c r="T120" s="5">
        <v>109063.94</v>
      </c>
      <c r="U120" s="5">
        <v>13498.12</v>
      </c>
      <c r="V120" s="5">
        <v>2521.6999999999998</v>
      </c>
      <c r="W120" s="5">
        <v>6518.97</v>
      </c>
      <c r="X120" s="5">
        <v>1929.08</v>
      </c>
      <c r="Y120" s="4">
        <v>2627971</v>
      </c>
    </row>
    <row r="121" spans="1:25" ht="16.05" customHeight="1" x14ac:dyDescent="0.3">
      <c r="A121" s="7">
        <v>1368</v>
      </c>
      <c r="B121" s="7">
        <v>20</v>
      </c>
      <c r="C121" s="7">
        <v>2022</v>
      </c>
      <c r="D121" s="8" t="s">
        <v>27</v>
      </c>
      <c r="E121" s="9">
        <v>6909</v>
      </c>
      <c r="F121" s="10">
        <v>267372750.5</v>
      </c>
      <c r="G121" s="10">
        <v>17165330.579999998</v>
      </c>
      <c r="H121" s="11">
        <v>6.42</v>
      </c>
      <c r="I121" s="11">
        <v>15.2</v>
      </c>
      <c r="J121" s="10">
        <v>13276.64</v>
      </c>
      <c r="K121" s="10">
        <v>19132.22</v>
      </c>
      <c r="L121" s="10">
        <v>267291974.30000001</v>
      </c>
      <c r="M121" s="10">
        <v>267362372.90000001</v>
      </c>
      <c r="N121" s="10">
        <v>80776.25</v>
      </c>
      <c r="O121" s="10">
        <v>267301102.30000001</v>
      </c>
      <c r="P121" s="10">
        <v>267290146.80000001</v>
      </c>
      <c r="Q121" s="10">
        <v>10955.48</v>
      </c>
      <c r="R121" s="10">
        <v>40640658.079999998</v>
      </c>
      <c r="S121" s="10">
        <v>-23475327.5</v>
      </c>
      <c r="T121" s="10">
        <v>114696.39</v>
      </c>
      <c r="U121" s="10">
        <v>8979.82</v>
      </c>
      <c r="V121" s="10">
        <v>1750.04</v>
      </c>
      <c r="W121" s="10">
        <v>7377.94</v>
      </c>
      <c r="X121" s="10">
        <v>3502.13</v>
      </c>
      <c r="Y121" s="9">
        <v>1260530</v>
      </c>
    </row>
    <row r="122" spans="1:25" ht="16.05" customHeight="1" x14ac:dyDescent="0.3">
      <c r="A122" s="2">
        <v>1438</v>
      </c>
      <c r="B122" s="2">
        <v>21</v>
      </c>
      <c r="C122" s="2">
        <v>2022</v>
      </c>
      <c r="D122" s="3" t="s">
        <v>27</v>
      </c>
      <c r="E122" s="4">
        <v>3446</v>
      </c>
      <c r="F122" s="5">
        <v>235615308.59999999</v>
      </c>
      <c r="G122" s="5">
        <v>46863884.890000001</v>
      </c>
      <c r="H122" s="6">
        <v>19.89</v>
      </c>
      <c r="I122" s="6">
        <v>6.42</v>
      </c>
      <c r="J122" s="5">
        <v>6733.12</v>
      </c>
      <c r="K122" s="5">
        <v>13812.83</v>
      </c>
      <c r="L122" s="5">
        <v>235577731.19999999</v>
      </c>
      <c r="M122" s="5">
        <v>235607432.30000001</v>
      </c>
      <c r="N122" s="5">
        <v>37577.410000000003</v>
      </c>
      <c r="O122" s="5">
        <v>235589899.69999999</v>
      </c>
      <c r="P122" s="5">
        <v>235576087.80000001</v>
      </c>
      <c r="Q122" s="5">
        <v>13811.86</v>
      </c>
      <c r="R122" s="5">
        <v>15126502.810000001</v>
      </c>
      <c r="S122" s="5">
        <v>31737382.07</v>
      </c>
      <c r="T122" s="5">
        <v>23405.14</v>
      </c>
      <c r="U122" s="5">
        <v>42885.09</v>
      </c>
      <c r="V122" s="5">
        <v>8237.41</v>
      </c>
      <c r="W122" s="5">
        <v>3931.05</v>
      </c>
      <c r="X122" s="5">
        <v>4695.9799999999996</v>
      </c>
      <c r="Y122" s="4">
        <v>4174415</v>
      </c>
    </row>
    <row r="123" spans="1:25" ht="16.05" customHeight="1" x14ac:dyDescent="0.3">
      <c r="A123" s="7">
        <v>1508</v>
      </c>
      <c r="B123" s="7">
        <v>22</v>
      </c>
      <c r="C123" s="7">
        <v>2022</v>
      </c>
      <c r="D123" s="8" t="s">
        <v>27</v>
      </c>
      <c r="E123" s="9">
        <v>2562</v>
      </c>
      <c r="F123" s="10">
        <v>70808432.560000002</v>
      </c>
      <c r="G123" s="10">
        <v>12285263.050000001</v>
      </c>
      <c r="H123" s="11">
        <v>17.350000000000001</v>
      </c>
      <c r="I123" s="11">
        <v>6.1</v>
      </c>
      <c r="J123" s="10">
        <v>12238.7</v>
      </c>
      <c r="K123" s="10">
        <v>4286.54</v>
      </c>
      <c r="L123" s="10">
        <v>70743152.340000004</v>
      </c>
      <c r="M123" s="10">
        <v>70795150.260000005</v>
      </c>
      <c r="N123" s="10">
        <v>65280.22</v>
      </c>
      <c r="O123" s="10">
        <v>70761217.579999998</v>
      </c>
      <c r="P123" s="10">
        <v>70749802.590000004</v>
      </c>
      <c r="Q123" s="10">
        <v>11414.99</v>
      </c>
      <c r="R123" s="10">
        <v>4319314.3899999997</v>
      </c>
      <c r="S123" s="10">
        <v>7965948.6600000001</v>
      </c>
      <c r="T123" s="10">
        <v>15308.42</v>
      </c>
      <c r="U123" s="10">
        <v>41384.89</v>
      </c>
      <c r="V123" s="10">
        <v>11091.52</v>
      </c>
      <c r="W123" s="10">
        <v>6973.72</v>
      </c>
      <c r="X123" s="10">
        <v>2788.17</v>
      </c>
      <c r="Y123" s="9">
        <v>1866931</v>
      </c>
    </row>
    <row r="124" spans="1:25" ht="16.05" customHeight="1" x14ac:dyDescent="0.3">
      <c r="A124" s="2">
        <v>1578</v>
      </c>
      <c r="B124" s="2">
        <v>23</v>
      </c>
      <c r="C124" s="2">
        <v>2022</v>
      </c>
      <c r="D124" s="3" t="s">
        <v>27</v>
      </c>
      <c r="E124" s="4">
        <v>3538</v>
      </c>
      <c r="F124" s="5">
        <v>133976969.40000001</v>
      </c>
      <c r="G124" s="5">
        <v>39362433.609999999</v>
      </c>
      <c r="H124" s="6">
        <v>29.38</v>
      </c>
      <c r="I124" s="6">
        <v>6.28</v>
      </c>
      <c r="J124" s="5">
        <v>9937.83</v>
      </c>
      <c r="K124" s="5">
        <v>5390.73</v>
      </c>
      <c r="L124" s="5">
        <v>133954025.2</v>
      </c>
      <c r="M124" s="5">
        <v>133972961.8</v>
      </c>
      <c r="N124" s="5">
        <v>22944.16</v>
      </c>
      <c r="O124" s="5">
        <v>133966388.90000001</v>
      </c>
      <c r="P124" s="5">
        <v>133961669</v>
      </c>
      <c r="Q124" s="5">
        <v>4719.91</v>
      </c>
      <c r="R124" s="5">
        <v>8413753.6799999997</v>
      </c>
      <c r="S124" s="5">
        <v>30948679.93</v>
      </c>
      <c r="T124" s="5">
        <v>100408.66</v>
      </c>
      <c r="U124" s="5">
        <v>14072.89</v>
      </c>
      <c r="V124" s="5">
        <v>6457.6</v>
      </c>
      <c r="W124" s="5">
        <v>5906.03</v>
      </c>
      <c r="X124" s="5">
        <v>4394.45</v>
      </c>
      <c r="Y124" s="4">
        <v>3003805</v>
      </c>
    </row>
    <row r="125" spans="1:25" ht="16.05" customHeight="1" x14ac:dyDescent="0.3">
      <c r="A125" s="7">
        <v>1648</v>
      </c>
      <c r="B125" s="7">
        <v>24</v>
      </c>
      <c r="C125" s="7">
        <v>2022</v>
      </c>
      <c r="D125" s="8" t="s">
        <v>27</v>
      </c>
      <c r="E125" s="9">
        <v>2105</v>
      </c>
      <c r="F125" s="10">
        <v>54681236.630000003</v>
      </c>
      <c r="G125" s="10">
        <v>4265136.46</v>
      </c>
      <c r="H125" s="11">
        <v>7.8</v>
      </c>
      <c r="I125" s="11">
        <v>7.75</v>
      </c>
      <c r="J125" s="10">
        <v>13712.13</v>
      </c>
      <c r="K125" s="10">
        <v>18709.27</v>
      </c>
      <c r="L125" s="10">
        <v>54601342.850000001</v>
      </c>
      <c r="M125" s="10">
        <v>54664529.32</v>
      </c>
      <c r="N125" s="10">
        <v>79893.78</v>
      </c>
      <c r="O125" s="10">
        <v>54608247.670000002</v>
      </c>
      <c r="P125" s="10">
        <v>54598835.68</v>
      </c>
      <c r="Q125" s="10">
        <v>9411.99</v>
      </c>
      <c r="R125" s="10">
        <v>4237795.84</v>
      </c>
      <c r="S125" s="10">
        <v>27340.62</v>
      </c>
      <c r="T125" s="10">
        <v>83994.93</v>
      </c>
      <c r="U125" s="10">
        <v>59304.29</v>
      </c>
      <c r="V125" s="10">
        <v>6244.49</v>
      </c>
      <c r="W125" s="10">
        <v>660.33</v>
      </c>
      <c r="X125" s="10">
        <v>3077.05</v>
      </c>
      <c r="Y125" s="9">
        <v>2756986</v>
      </c>
    </row>
    <row r="126" spans="1:25" ht="16.05" customHeight="1" x14ac:dyDescent="0.3">
      <c r="A126" s="2">
        <v>1718</v>
      </c>
      <c r="B126" s="2">
        <v>25</v>
      </c>
      <c r="C126" s="2">
        <v>2022</v>
      </c>
      <c r="D126" s="3" t="s">
        <v>27</v>
      </c>
      <c r="E126" s="4">
        <v>5788</v>
      </c>
      <c r="F126" s="5">
        <v>246107804.09999999</v>
      </c>
      <c r="G126" s="5">
        <v>24807666.649999999</v>
      </c>
      <c r="H126" s="6">
        <v>10.08</v>
      </c>
      <c r="I126" s="6">
        <v>9.48</v>
      </c>
      <c r="J126" s="5">
        <v>13556.81</v>
      </c>
      <c r="K126" s="5">
        <v>5014.8599999999997</v>
      </c>
      <c r="L126" s="5">
        <v>246085093</v>
      </c>
      <c r="M126" s="5">
        <v>246090290</v>
      </c>
      <c r="N126" s="5">
        <v>22711.06</v>
      </c>
      <c r="O126" s="5">
        <v>246094980.80000001</v>
      </c>
      <c r="P126" s="5">
        <v>246090395.40000001</v>
      </c>
      <c r="Q126" s="5">
        <v>4585.3900000000003</v>
      </c>
      <c r="R126" s="5">
        <v>23331019.829999998</v>
      </c>
      <c r="S126" s="5">
        <v>1476646.82</v>
      </c>
      <c r="T126" s="5">
        <v>65364.43</v>
      </c>
      <c r="U126" s="5">
        <v>12369.7</v>
      </c>
      <c r="V126" s="5">
        <v>2912.76</v>
      </c>
      <c r="W126" s="5">
        <v>6975.06</v>
      </c>
      <c r="X126" s="5">
        <v>1528.86</v>
      </c>
      <c r="Y126" s="4">
        <v>3971241</v>
      </c>
    </row>
    <row r="127" spans="1:25" ht="16.05" customHeight="1" x14ac:dyDescent="0.3">
      <c r="A127" s="7">
        <v>1788</v>
      </c>
      <c r="B127" s="7">
        <v>26</v>
      </c>
      <c r="C127" s="7">
        <v>2022</v>
      </c>
      <c r="D127" s="8" t="s">
        <v>27</v>
      </c>
      <c r="E127" s="9">
        <v>5862</v>
      </c>
      <c r="F127" s="10">
        <v>247125639.40000001</v>
      </c>
      <c r="G127" s="10">
        <v>65957833.149999999</v>
      </c>
      <c r="H127" s="11">
        <v>26.69</v>
      </c>
      <c r="I127" s="11">
        <v>18.420000000000002</v>
      </c>
      <c r="J127" s="10">
        <v>1558.67</v>
      </c>
      <c r="K127" s="10">
        <v>9746.64</v>
      </c>
      <c r="L127" s="10">
        <v>247050011.40000001</v>
      </c>
      <c r="M127" s="10">
        <v>247113871.19999999</v>
      </c>
      <c r="N127" s="10">
        <v>75628</v>
      </c>
      <c r="O127" s="10">
        <v>247062507.19999999</v>
      </c>
      <c r="P127" s="10">
        <v>247054113.5</v>
      </c>
      <c r="Q127" s="10">
        <v>8393.65</v>
      </c>
      <c r="R127" s="10">
        <v>45520542.770000003</v>
      </c>
      <c r="S127" s="10">
        <v>20437290.379999999</v>
      </c>
      <c r="T127" s="10">
        <v>48961.97</v>
      </c>
      <c r="U127" s="10">
        <v>48016.959999999999</v>
      </c>
      <c r="V127" s="10">
        <v>8926.8799999999992</v>
      </c>
      <c r="W127" s="10">
        <v>3568.92</v>
      </c>
      <c r="X127" s="10">
        <v>3582.86</v>
      </c>
      <c r="Y127" s="9">
        <v>4252385</v>
      </c>
    </row>
    <row r="128" spans="1:25" ht="16.05" customHeight="1" x14ac:dyDescent="0.3">
      <c r="A128" s="2">
        <v>1858</v>
      </c>
      <c r="B128" s="2">
        <v>27</v>
      </c>
      <c r="C128" s="2">
        <v>2022</v>
      </c>
      <c r="D128" s="3" t="s">
        <v>27</v>
      </c>
      <c r="E128" s="4">
        <v>2223</v>
      </c>
      <c r="F128" s="5">
        <v>125981635.59999999</v>
      </c>
      <c r="G128" s="5">
        <v>28131699.239999998</v>
      </c>
      <c r="H128" s="6">
        <v>22.33</v>
      </c>
      <c r="I128" s="6">
        <v>16.45</v>
      </c>
      <c r="J128" s="5">
        <v>8845.89</v>
      </c>
      <c r="K128" s="5">
        <v>18226.43</v>
      </c>
      <c r="L128" s="5">
        <v>125893432.09999999</v>
      </c>
      <c r="M128" s="5">
        <v>125976459.8</v>
      </c>
      <c r="N128" s="5">
        <v>88203.57</v>
      </c>
      <c r="O128" s="5">
        <v>125898698.3</v>
      </c>
      <c r="P128" s="5">
        <v>125893129.2</v>
      </c>
      <c r="Q128" s="5">
        <v>5569.16</v>
      </c>
      <c r="R128" s="5">
        <v>20723979.059999999</v>
      </c>
      <c r="S128" s="5">
        <v>7407720.1799999997</v>
      </c>
      <c r="T128" s="5">
        <v>54368.11</v>
      </c>
      <c r="U128" s="5">
        <v>26969.34</v>
      </c>
      <c r="V128" s="5">
        <v>1151.5899999999999</v>
      </c>
      <c r="W128" s="5">
        <v>4114.66</v>
      </c>
      <c r="X128" s="5">
        <v>3383.39</v>
      </c>
      <c r="Y128" s="4">
        <v>3775656</v>
      </c>
    </row>
    <row r="129" spans="1:25" ht="16.05" customHeight="1" x14ac:dyDescent="0.3">
      <c r="A129" s="7">
        <v>1928</v>
      </c>
      <c r="B129" s="7">
        <v>28</v>
      </c>
      <c r="C129" s="7">
        <v>2022</v>
      </c>
      <c r="D129" s="8" t="s">
        <v>27</v>
      </c>
      <c r="E129" s="9">
        <v>3683</v>
      </c>
      <c r="F129" s="10">
        <v>64719452.57</v>
      </c>
      <c r="G129" s="10">
        <v>8407056.8900000006</v>
      </c>
      <c r="H129" s="11">
        <v>12.99</v>
      </c>
      <c r="I129" s="11">
        <v>14.3</v>
      </c>
      <c r="J129" s="10">
        <v>12974.41</v>
      </c>
      <c r="K129" s="10">
        <v>10427.06</v>
      </c>
      <c r="L129" s="10">
        <v>64629493.68</v>
      </c>
      <c r="M129" s="10">
        <v>64697888.810000002</v>
      </c>
      <c r="N129" s="10">
        <v>89958.89</v>
      </c>
      <c r="O129" s="10">
        <v>64643102.049999997</v>
      </c>
      <c r="P129" s="10">
        <v>64631621.219999999</v>
      </c>
      <c r="Q129" s="10">
        <v>11480.83</v>
      </c>
      <c r="R129" s="10">
        <v>9254881.7200000007</v>
      </c>
      <c r="S129" s="10">
        <v>-847824.83</v>
      </c>
      <c r="T129" s="10">
        <v>91959.37</v>
      </c>
      <c r="U129" s="10">
        <v>38701.31</v>
      </c>
      <c r="V129" s="10">
        <v>5895.67</v>
      </c>
      <c r="W129" s="10">
        <v>7712.7</v>
      </c>
      <c r="X129" s="10">
        <v>3281.84</v>
      </c>
      <c r="Y129" s="9">
        <v>1469186</v>
      </c>
    </row>
    <row r="130" spans="1:25" ht="16.05" customHeight="1" x14ac:dyDescent="0.3">
      <c r="A130" s="2">
        <v>1998</v>
      </c>
      <c r="B130" s="2">
        <v>29</v>
      </c>
      <c r="C130" s="2">
        <v>2022</v>
      </c>
      <c r="D130" s="3" t="s">
        <v>27</v>
      </c>
      <c r="E130" s="4">
        <v>5228</v>
      </c>
      <c r="F130" s="5">
        <v>209987863.90000001</v>
      </c>
      <c r="G130" s="5">
        <v>55562788.780000001</v>
      </c>
      <c r="H130" s="6">
        <v>26.46</v>
      </c>
      <c r="I130" s="6">
        <v>14.59</v>
      </c>
      <c r="J130" s="5">
        <v>12251.17</v>
      </c>
      <c r="K130" s="5">
        <v>3616.11</v>
      </c>
      <c r="L130" s="5">
        <v>209934256.80000001</v>
      </c>
      <c r="M130" s="5">
        <v>209982050</v>
      </c>
      <c r="N130" s="5">
        <v>53607.040000000001</v>
      </c>
      <c r="O130" s="5">
        <v>209941674.19999999</v>
      </c>
      <c r="P130" s="5">
        <v>209934542.59999999</v>
      </c>
      <c r="Q130" s="5">
        <v>7131.61</v>
      </c>
      <c r="R130" s="5">
        <v>30637229.34</v>
      </c>
      <c r="S130" s="5">
        <v>24925559.440000001</v>
      </c>
      <c r="T130" s="5">
        <v>60540.5</v>
      </c>
      <c r="U130" s="5">
        <v>38666.61</v>
      </c>
      <c r="V130" s="5">
        <v>2332.48</v>
      </c>
      <c r="W130" s="5">
        <v>5084.8500000000004</v>
      </c>
      <c r="X130" s="5">
        <v>4743.6099999999997</v>
      </c>
      <c r="Y130" s="4">
        <v>2556613</v>
      </c>
    </row>
    <row r="131" spans="1:25" ht="16.05" customHeight="1" x14ac:dyDescent="0.3">
      <c r="A131" s="7">
        <v>2068</v>
      </c>
      <c r="B131" s="7">
        <v>30</v>
      </c>
      <c r="C131" s="7">
        <v>2022</v>
      </c>
      <c r="D131" s="8" t="s">
        <v>27</v>
      </c>
      <c r="E131" s="9">
        <v>2210</v>
      </c>
      <c r="F131" s="10">
        <v>45249743.920000002</v>
      </c>
      <c r="G131" s="10">
        <v>3900527.93</v>
      </c>
      <c r="H131" s="11">
        <v>8.6199999999999992</v>
      </c>
      <c r="I131" s="11">
        <v>13.14</v>
      </c>
      <c r="J131" s="10">
        <v>11527.03</v>
      </c>
      <c r="K131" s="10">
        <v>19150.05</v>
      </c>
      <c r="L131" s="10">
        <v>45223477.969999999</v>
      </c>
      <c r="M131" s="10">
        <v>45227716.07</v>
      </c>
      <c r="N131" s="10">
        <v>26265.95</v>
      </c>
      <c r="O131" s="10">
        <v>45233921.82</v>
      </c>
      <c r="P131" s="10">
        <v>45230234.75</v>
      </c>
      <c r="Q131" s="10">
        <v>3687.07</v>
      </c>
      <c r="R131" s="10">
        <v>5945816.3499999996</v>
      </c>
      <c r="S131" s="10">
        <v>-2045288.42</v>
      </c>
      <c r="T131" s="10">
        <v>42049.86</v>
      </c>
      <c r="U131" s="10">
        <v>5175.3</v>
      </c>
      <c r="V131" s="10">
        <v>3732.85</v>
      </c>
      <c r="W131" s="10">
        <v>6711</v>
      </c>
      <c r="X131" s="10">
        <v>1356.91</v>
      </c>
      <c r="Y131" s="9">
        <v>2960043</v>
      </c>
    </row>
    <row r="132" spans="1:25" ht="16.05" customHeight="1" x14ac:dyDescent="0.3">
      <c r="A132" s="2">
        <v>2138</v>
      </c>
      <c r="B132" s="2">
        <v>31</v>
      </c>
      <c r="C132" s="2">
        <v>2022</v>
      </c>
      <c r="D132" s="3" t="s">
        <v>27</v>
      </c>
      <c r="E132" s="4">
        <v>3550</v>
      </c>
      <c r="F132" s="5">
        <v>202856731.69999999</v>
      </c>
      <c r="G132" s="5">
        <v>42985341.460000001</v>
      </c>
      <c r="H132" s="6">
        <v>21.19</v>
      </c>
      <c r="I132" s="6">
        <v>15.46</v>
      </c>
      <c r="J132" s="5">
        <v>2286.0500000000002</v>
      </c>
      <c r="K132" s="5">
        <v>14134.8</v>
      </c>
      <c r="L132" s="5">
        <v>202759547.5</v>
      </c>
      <c r="M132" s="5">
        <v>202845193.40000001</v>
      </c>
      <c r="N132" s="5">
        <v>97184.27</v>
      </c>
      <c r="O132" s="5">
        <v>202768632.09999999</v>
      </c>
      <c r="P132" s="5">
        <v>202753831.19999999</v>
      </c>
      <c r="Q132" s="5">
        <v>14800.95</v>
      </c>
      <c r="R132" s="5">
        <v>31361650.73</v>
      </c>
      <c r="S132" s="5">
        <v>11623690.73</v>
      </c>
      <c r="T132" s="5">
        <v>12824.85</v>
      </c>
      <c r="U132" s="5">
        <v>15745.37</v>
      </c>
      <c r="V132" s="5">
        <v>5121.6400000000003</v>
      </c>
      <c r="W132" s="5">
        <v>3963.01</v>
      </c>
      <c r="X132" s="5">
        <v>1767.52</v>
      </c>
      <c r="Y132" s="4">
        <v>2979968</v>
      </c>
    </row>
    <row r="133" spans="1:25" ht="16.05" customHeight="1" x14ac:dyDescent="0.3">
      <c r="A133" s="7">
        <v>2208</v>
      </c>
      <c r="B133" s="7">
        <v>32</v>
      </c>
      <c r="C133" s="7">
        <v>2022</v>
      </c>
      <c r="D133" s="8" t="s">
        <v>27</v>
      </c>
      <c r="E133" s="9">
        <v>4672</v>
      </c>
      <c r="F133" s="10">
        <v>209619335.40000001</v>
      </c>
      <c r="G133" s="10">
        <v>27355323.27</v>
      </c>
      <c r="H133" s="11">
        <v>13.05</v>
      </c>
      <c r="I133" s="11">
        <v>15.35</v>
      </c>
      <c r="J133" s="10">
        <v>10965.7</v>
      </c>
      <c r="K133" s="10">
        <v>13679.21</v>
      </c>
      <c r="L133" s="10">
        <v>209602181</v>
      </c>
      <c r="M133" s="10">
        <v>209612550.90000001</v>
      </c>
      <c r="N133" s="10">
        <v>17154.39</v>
      </c>
      <c r="O133" s="10">
        <v>209617767</v>
      </c>
      <c r="P133" s="10">
        <v>209604171.09999999</v>
      </c>
      <c r="Q133" s="10">
        <v>13595.84</v>
      </c>
      <c r="R133" s="10">
        <v>32176567.98</v>
      </c>
      <c r="S133" s="10">
        <v>-4821244.71</v>
      </c>
      <c r="T133" s="10">
        <v>90354.13</v>
      </c>
      <c r="U133" s="10">
        <v>8234.0499999999993</v>
      </c>
      <c r="V133" s="10">
        <v>11848.9</v>
      </c>
      <c r="W133" s="10">
        <v>3737.05</v>
      </c>
      <c r="X133" s="10">
        <v>4531.34</v>
      </c>
      <c r="Y133" s="9">
        <v>3557331</v>
      </c>
    </row>
    <row r="134" spans="1:25" ht="16.05" customHeight="1" x14ac:dyDescent="0.3">
      <c r="A134" s="2">
        <v>2278</v>
      </c>
      <c r="B134" s="2">
        <v>33</v>
      </c>
      <c r="C134" s="2">
        <v>2022</v>
      </c>
      <c r="D134" s="3" t="s">
        <v>27</v>
      </c>
      <c r="E134" s="4">
        <v>510</v>
      </c>
      <c r="F134" s="5">
        <v>26535393.59</v>
      </c>
      <c r="G134" s="5">
        <v>7628925.6600000001</v>
      </c>
      <c r="H134" s="6">
        <v>28.75</v>
      </c>
      <c r="I134" s="6">
        <v>16.899999999999999</v>
      </c>
      <c r="J134" s="5">
        <v>7435.61</v>
      </c>
      <c r="K134" s="5">
        <v>9488.0400000000009</v>
      </c>
      <c r="L134" s="5">
        <v>26506572.699999999</v>
      </c>
      <c r="M134" s="5">
        <v>26510698.379999999</v>
      </c>
      <c r="N134" s="5">
        <v>28820.89</v>
      </c>
      <c r="O134" s="5">
        <v>26522518.559999999</v>
      </c>
      <c r="P134" s="5">
        <v>26513256.73</v>
      </c>
      <c r="Q134" s="5">
        <v>9261.83</v>
      </c>
      <c r="R134" s="5">
        <v>4484481.5199999996</v>
      </c>
      <c r="S134" s="5">
        <v>3144444.14</v>
      </c>
      <c r="T134" s="5">
        <v>102436.25</v>
      </c>
      <c r="U134" s="5">
        <v>50225.61</v>
      </c>
      <c r="V134" s="5">
        <v>9628.83</v>
      </c>
      <c r="W134" s="5">
        <v>6317.03</v>
      </c>
      <c r="X134" s="5">
        <v>3928.5</v>
      </c>
      <c r="Y134" s="4">
        <v>3512778</v>
      </c>
    </row>
    <row r="135" spans="1:25" ht="16.05" customHeight="1" x14ac:dyDescent="0.3">
      <c r="A135" s="7">
        <v>2348</v>
      </c>
      <c r="B135" s="7">
        <v>34</v>
      </c>
      <c r="C135" s="7">
        <v>2022</v>
      </c>
      <c r="D135" s="8" t="s">
        <v>27</v>
      </c>
      <c r="E135" s="9">
        <v>1245</v>
      </c>
      <c r="F135" s="10">
        <v>20960357.75</v>
      </c>
      <c r="G135" s="10">
        <v>4464556.2</v>
      </c>
      <c r="H135" s="11">
        <v>21.3</v>
      </c>
      <c r="I135" s="11">
        <v>17.88</v>
      </c>
      <c r="J135" s="10">
        <v>5069.75</v>
      </c>
      <c r="K135" s="10">
        <v>8039.35</v>
      </c>
      <c r="L135" s="10">
        <v>20939615.260000002</v>
      </c>
      <c r="M135" s="10">
        <v>20942545.859999999</v>
      </c>
      <c r="N135" s="10">
        <v>20742.490000000002</v>
      </c>
      <c r="O135" s="10">
        <v>20950819.079999998</v>
      </c>
      <c r="P135" s="10">
        <v>20946300.879999999</v>
      </c>
      <c r="Q135" s="10">
        <v>4518.2</v>
      </c>
      <c r="R135" s="10">
        <v>3747711.96</v>
      </c>
      <c r="S135" s="10">
        <v>716844.24</v>
      </c>
      <c r="T135" s="10">
        <v>42132.14</v>
      </c>
      <c r="U135" s="10">
        <v>42023.11</v>
      </c>
      <c r="V135" s="10">
        <v>10440.35</v>
      </c>
      <c r="W135" s="10">
        <v>763.47</v>
      </c>
      <c r="X135" s="10">
        <v>1833.76</v>
      </c>
      <c r="Y135" s="9">
        <v>1714017</v>
      </c>
    </row>
    <row r="136" spans="1:25" ht="16.05" customHeight="1" x14ac:dyDescent="0.3">
      <c r="A136" s="2">
        <v>2418</v>
      </c>
      <c r="B136" s="2">
        <v>35</v>
      </c>
      <c r="C136" s="2">
        <v>2022</v>
      </c>
      <c r="D136" s="3" t="s">
        <v>27</v>
      </c>
      <c r="E136" s="4">
        <v>4258</v>
      </c>
      <c r="F136" s="5">
        <v>122449538.7</v>
      </c>
      <c r="G136" s="5">
        <v>20106214.260000002</v>
      </c>
      <c r="H136" s="6">
        <v>16.420000000000002</v>
      </c>
      <c r="I136" s="6">
        <v>8.99</v>
      </c>
      <c r="J136" s="5">
        <v>12837.59</v>
      </c>
      <c r="K136" s="5">
        <v>10797.2</v>
      </c>
      <c r="L136" s="5">
        <v>122415849.5</v>
      </c>
      <c r="M136" s="5">
        <v>122444664.7</v>
      </c>
      <c r="N136" s="5">
        <v>33689.25</v>
      </c>
      <c r="O136" s="5">
        <v>122431416.7</v>
      </c>
      <c r="P136" s="5">
        <v>122424685.5</v>
      </c>
      <c r="Q136" s="5">
        <v>6731.23</v>
      </c>
      <c r="R136" s="5">
        <v>11008213.529999999</v>
      </c>
      <c r="S136" s="5">
        <v>9098000.7300000004</v>
      </c>
      <c r="T136" s="5">
        <v>116128.08</v>
      </c>
      <c r="U136" s="5">
        <v>17807.490000000002</v>
      </c>
      <c r="V136" s="5">
        <v>11734.27</v>
      </c>
      <c r="W136" s="5">
        <v>3833</v>
      </c>
      <c r="X136" s="5">
        <v>1742.25</v>
      </c>
      <c r="Y136" s="4">
        <v>1377059</v>
      </c>
    </row>
    <row r="137" spans="1:25" ht="16.05" customHeight="1" x14ac:dyDescent="0.3">
      <c r="A137" s="7">
        <v>2488</v>
      </c>
      <c r="B137" s="7">
        <v>36</v>
      </c>
      <c r="C137" s="7">
        <v>2022</v>
      </c>
      <c r="D137" s="8" t="s">
        <v>27</v>
      </c>
      <c r="E137" s="9">
        <v>2313</v>
      </c>
      <c r="F137" s="10">
        <v>141600540.30000001</v>
      </c>
      <c r="G137" s="10">
        <v>18946152.300000001</v>
      </c>
      <c r="H137" s="11">
        <v>13.38</v>
      </c>
      <c r="I137" s="11">
        <v>16.8</v>
      </c>
      <c r="J137" s="10">
        <v>11318.96</v>
      </c>
      <c r="K137" s="10">
        <v>5902.72</v>
      </c>
      <c r="L137" s="10">
        <v>141567876.19999999</v>
      </c>
      <c r="M137" s="10">
        <v>141574984.5</v>
      </c>
      <c r="N137" s="10">
        <v>32664.12</v>
      </c>
      <c r="O137" s="10">
        <v>141578800.69999999</v>
      </c>
      <c r="P137" s="10">
        <v>141567931.19999999</v>
      </c>
      <c r="Q137" s="10">
        <v>10869.43</v>
      </c>
      <c r="R137" s="10">
        <v>23788890.780000001</v>
      </c>
      <c r="S137" s="10">
        <v>-4842738.4800000004</v>
      </c>
      <c r="T137" s="10">
        <v>119143</v>
      </c>
      <c r="U137" s="10">
        <v>31810.29</v>
      </c>
      <c r="V137" s="10">
        <v>3817</v>
      </c>
      <c r="W137" s="10">
        <v>7107.45</v>
      </c>
      <c r="X137" s="10">
        <v>4833.2299999999996</v>
      </c>
      <c r="Y137" s="9">
        <v>4805031</v>
      </c>
    </row>
    <row r="138" spans="1:25" ht="16.05" customHeight="1" x14ac:dyDescent="0.3">
      <c r="A138" s="2">
        <v>2558</v>
      </c>
      <c r="B138" s="2">
        <v>37</v>
      </c>
      <c r="C138" s="2">
        <v>2022</v>
      </c>
      <c r="D138" s="3" t="s">
        <v>27</v>
      </c>
      <c r="E138" s="4">
        <v>344</v>
      </c>
      <c r="F138" s="5">
        <v>13918322.390000001</v>
      </c>
      <c r="G138" s="5">
        <v>3352923.86</v>
      </c>
      <c r="H138" s="6">
        <v>24.09</v>
      </c>
      <c r="I138" s="6">
        <v>13.99</v>
      </c>
      <c r="J138" s="5">
        <v>5608.37</v>
      </c>
      <c r="K138" s="5">
        <v>14938.16</v>
      </c>
      <c r="L138" s="5">
        <v>13868423.59</v>
      </c>
      <c r="M138" s="5">
        <v>13905972.359999999</v>
      </c>
      <c r="N138" s="5">
        <v>49898.8</v>
      </c>
      <c r="O138" s="5">
        <v>13880097.939999999</v>
      </c>
      <c r="P138" s="5">
        <v>13876969.01</v>
      </c>
      <c r="Q138" s="5">
        <v>3128.93</v>
      </c>
      <c r="R138" s="5">
        <v>1947173.3</v>
      </c>
      <c r="S138" s="5">
        <v>1405750.56</v>
      </c>
      <c r="T138" s="5">
        <v>47575.66</v>
      </c>
      <c r="U138" s="5">
        <v>55128.37</v>
      </c>
      <c r="V138" s="5">
        <v>5263.6</v>
      </c>
      <c r="W138" s="5">
        <v>6410.75</v>
      </c>
      <c r="X138" s="5">
        <v>1623.17</v>
      </c>
      <c r="Y138" s="4">
        <v>3830976</v>
      </c>
    </row>
    <row r="139" spans="1:25" ht="16.05" customHeight="1" x14ac:dyDescent="0.3">
      <c r="A139" s="7">
        <v>2628</v>
      </c>
      <c r="B139" s="7">
        <v>38</v>
      </c>
      <c r="C139" s="7">
        <v>2022</v>
      </c>
      <c r="D139" s="8" t="s">
        <v>27</v>
      </c>
      <c r="E139" s="9">
        <v>2853</v>
      </c>
      <c r="F139" s="10">
        <v>29633149.920000002</v>
      </c>
      <c r="G139" s="10">
        <v>8273575.46</v>
      </c>
      <c r="H139" s="11">
        <v>27.92</v>
      </c>
      <c r="I139" s="11">
        <v>13.13</v>
      </c>
      <c r="J139" s="10">
        <v>4809.84</v>
      </c>
      <c r="K139" s="10">
        <v>16995.84</v>
      </c>
      <c r="L139" s="10">
        <v>29582922.140000001</v>
      </c>
      <c r="M139" s="10">
        <v>29612708.07</v>
      </c>
      <c r="N139" s="10">
        <v>50227.78</v>
      </c>
      <c r="O139" s="10">
        <v>29596008.84</v>
      </c>
      <c r="P139" s="10">
        <v>29593664.359999999</v>
      </c>
      <c r="Q139" s="10">
        <v>2344.48</v>
      </c>
      <c r="R139" s="10">
        <v>3890832.58</v>
      </c>
      <c r="S139" s="10">
        <v>4382742.87</v>
      </c>
      <c r="T139" s="10">
        <v>46513.31</v>
      </c>
      <c r="U139" s="10">
        <v>33339.15</v>
      </c>
      <c r="V139" s="10">
        <v>11114.47</v>
      </c>
      <c r="W139" s="10">
        <v>1972.23</v>
      </c>
      <c r="X139" s="10">
        <v>1079.24</v>
      </c>
      <c r="Y139" s="9">
        <v>3019058</v>
      </c>
    </row>
    <row r="140" spans="1:25" ht="16.05" customHeight="1" x14ac:dyDescent="0.3">
      <c r="A140" s="2">
        <v>2698</v>
      </c>
      <c r="B140" s="2">
        <v>39</v>
      </c>
      <c r="C140" s="2">
        <v>2022</v>
      </c>
      <c r="D140" s="3" t="s">
        <v>27</v>
      </c>
      <c r="E140" s="4">
        <v>4316</v>
      </c>
      <c r="F140" s="5">
        <v>176601602.69999999</v>
      </c>
      <c r="G140" s="5">
        <v>33978148.359999999</v>
      </c>
      <c r="H140" s="6">
        <v>19.239999999999998</v>
      </c>
      <c r="I140" s="6">
        <v>18.28</v>
      </c>
      <c r="J140" s="5">
        <v>3316.87</v>
      </c>
      <c r="K140" s="5">
        <v>19232.7</v>
      </c>
      <c r="L140" s="5">
        <v>176567474</v>
      </c>
      <c r="M140" s="5">
        <v>176576221.80000001</v>
      </c>
      <c r="N140" s="5">
        <v>34128.71</v>
      </c>
      <c r="O140" s="5">
        <v>176583303.80000001</v>
      </c>
      <c r="P140" s="5">
        <v>176578512.19999999</v>
      </c>
      <c r="Q140" s="5">
        <v>4791.6400000000003</v>
      </c>
      <c r="R140" s="5">
        <v>32282772.969999999</v>
      </c>
      <c r="S140" s="5">
        <v>1695375.39</v>
      </c>
      <c r="T140" s="5">
        <v>11134.92</v>
      </c>
      <c r="U140" s="5">
        <v>55359.83</v>
      </c>
      <c r="V140" s="5">
        <v>8055.33</v>
      </c>
      <c r="W140" s="5">
        <v>7774.51</v>
      </c>
      <c r="X140" s="5">
        <v>2290.66</v>
      </c>
      <c r="Y140" s="4">
        <v>3012990</v>
      </c>
    </row>
    <row r="141" spans="1:25" ht="16.05" customHeight="1" x14ac:dyDescent="0.3">
      <c r="A141" s="7">
        <v>2768</v>
      </c>
      <c r="B141" s="7">
        <v>40</v>
      </c>
      <c r="C141" s="7">
        <v>2022</v>
      </c>
      <c r="D141" s="8" t="s">
        <v>27</v>
      </c>
      <c r="E141" s="9">
        <v>2405</v>
      </c>
      <c r="F141" s="10">
        <v>99718092.25</v>
      </c>
      <c r="G141" s="10">
        <v>29805737.77</v>
      </c>
      <c r="H141" s="11">
        <v>29.89</v>
      </c>
      <c r="I141" s="11">
        <v>17.77</v>
      </c>
      <c r="J141" s="10">
        <v>3058.97</v>
      </c>
      <c r="K141" s="10">
        <v>6910.46</v>
      </c>
      <c r="L141" s="10">
        <v>99629793.510000005</v>
      </c>
      <c r="M141" s="10">
        <v>99703182.849999994</v>
      </c>
      <c r="N141" s="10">
        <v>88298.74</v>
      </c>
      <c r="O141" s="10">
        <v>99637755.340000004</v>
      </c>
      <c r="P141" s="10">
        <v>99629606.709999993</v>
      </c>
      <c r="Q141" s="10">
        <v>8148.63</v>
      </c>
      <c r="R141" s="10">
        <v>17719904.989999998</v>
      </c>
      <c r="S141" s="10">
        <v>12085832.779999999</v>
      </c>
      <c r="T141" s="10">
        <v>35474.120000000003</v>
      </c>
      <c r="U141" s="10">
        <v>30150.43</v>
      </c>
      <c r="V141" s="10">
        <v>4044.6</v>
      </c>
      <c r="W141" s="10">
        <v>3917.23</v>
      </c>
      <c r="X141" s="10">
        <v>3656.89</v>
      </c>
      <c r="Y141" s="9">
        <v>2132307</v>
      </c>
    </row>
    <row r="142" spans="1:25" ht="16.05" customHeight="1" x14ac:dyDescent="0.3">
      <c r="A142" s="2">
        <v>2838</v>
      </c>
      <c r="B142" s="2">
        <v>41</v>
      </c>
      <c r="C142" s="2">
        <v>2022</v>
      </c>
      <c r="D142" s="3" t="s">
        <v>27</v>
      </c>
      <c r="E142" s="4">
        <v>385</v>
      </c>
      <c r="F142" s="5">
        <v>15423927.119999999</v>
      </c>
      <c r="G142" s="5">
        <v>1162964.1000000001</v>
      </c>
      <c r="H142" s="6">
        <v>7.54</v>
      </c>
      <c r="I142" s="6">
        <v>5.7</v>
      </c>
      <c r="J142" s="5">
        <v>9196.92</v>
      </c>
      <c r="K142" s="5">
        <v>17465.27</v>
      </c>
      <c r="L142" s="5">
        <v>15384869.890000001</v>
      </c>
      <c r="M142" s="5">
        <v>15406589.869999999</v>
      </c>
      <c r="N142" s="5">
        <v>39057.230000000003</v>
      </c>
      <c r="O142" s="5">
        <v>15397834.039999999</v>
      </c>
      <c r="P142" s="5">
        <v>15393962.880000001</v>
      </c>
      <c r="Q142" s="5">
        <v>3871.16</v>
      </c>
      <c r="R142" s="5">
        <v>879163.85</v>
      </c>
      <c r="S142" s="5">
        <v>283800.26</v>
      </c>
      <c r="T142" s="5">
        <v>10555.38</v>
      </c>
      <c r="U142" s="5">
        <v>37475.06</v>
      </c>
      <c r="V142" s="5">
        <v>11649.14</v>
      </c>
      <c r="W142" s="5">
        <v>1315.01</v>
      </c>
      <c r="X142" s="5">
        <v>4049.13</v>
      </c>
      <c r="Y142" s="4">
        <v>2426608</v>
      </c>
    </row>
    <row r="143" spans="1:25" ht="16.05" customHeight="1" x14ac:dyDescent="0.3">
      <c r="A143" s="7">
        <v>2908</v>
      </c>
      <c r="B143" s="7">
        <v>42</v>
      </c>
      <c r="C143" s="7">
        <v>2022</v>
      </c>
      <c r="D143" s="8" t="s">
        <v>27</v>
      </c>
      <c r="E143" s="9">
        <v>5691</v>
      </c>
      <c r="F143" s="10">
        <v>35679148.579999998</v>
      </c>
      <c r="G143" s="10">
        <v>5933442.4100000001</v>
      </c>
      <c r="H143" s="11">
        <v>16.63</v>
      </c>
      <c r="I143" s="11">
        <v>18.420000000000002</v>
      </c>
      <c r="J143" s="10">
        <v>8931.2000000000007</v>
      </c>
      <c r="K143" s="10">
        <v>5703.19</v>
      </c>
      <c r="L143" s="10">
        <v>35646536.670000002</v>
      </c>
      <c r="M143" s="10">
        <v>35667044.539999999</v>
      </c>
      <c r="N143" s="10">
        <v>32611.91</v>
      </c>
      <c r="O143" s="10">
        <v>35663243.789999999</v>
      </c>
      <c r="P143" s="10">
        <v>35661697.789999999</v>
      </c>
      <c r="Q143" s="10">
        <v>1546</v>
      </c>
      <c r="R143" s="10">
        <v>6572099.1699999999</v>
      </c>
      <c r="S143" s="10">
        <v>-638656.76</v>
      </c>
      <c r="T143" s="10">
        <v>56275.839999999997</v>
      </c>
      <c r="U143" s="10">
        <v>47882.12</v>
      </c>
      <c r="V143" s="10">
        <v>9450.2000000000007</v>
      </c>
      <c r="W143" s="10">
        <v>7256.92</v>
      </c>
      <c r="X143" s="10">
        <v>4267.6499999999996</v>
      </c>
      <c r="Y143" s="9">
        <v>1836869</v>
      </c>
    </row>
    <row r="144" spans="1:25" ht="16.05" customHeight="1" x14ac:dyDescent="0.3">
      <c r="A144" s="2">
        <v>2978</v>
      </c>
      <c r="B144" s="2">
        <v>43</v>
      </c>
      <c r="C144" s="2">
        <v>2022</v>
      </c>
      <c r="D144" s="3" t="s">
        <v>27</v>
      </c>
      <c r="E144" s="4">
        <v>1786</v>
      </c>
      <c r="F144" s="5">
        <v>99115554.299999997</v>
      </c>
      <c r="G144" s="5">
        <v>21111613.07</v>
      </c>
      <c r="H144" s="6">
        <v>21.3</v>
      </c>
      <c r="I144" s="6">
        <v>6.7</v>
      </c>
      <c r="J144" s="5">
        <v>10322.44</v>
      </c>
      <c r="K144" s="5">
        <v>4295.0200000000004</v>
      </c>
      <c r="L144" s="5">
        <v>99042151.980000004</v>
      </c>
      <c r="M144" s="5">
        <v>99103502.409999996</v>
      </c>
      <c r="N144" s="5">
        <v>73402.320000000007</v>
      </c>
      <c r="O144" s="5">
        <v>99051026.680000007</v>
      </c>
      <c r="P144" s="5">
        <v>99046166.599999994</v>
      </c>
      <c r="Q144" s="5">
        <v>4860.08</v>
      </c>
      <c r="R144" s="5">
        <v>6640742.1399999997</v>
      </c>
      <c r="S144" s="5">
        <v>14470870.93</v>
      </c>
      <c r="T144" s="5">
        <v>119901.75999999999</v>
      </c>
      <c r="U144" s="5">
        <v>28752.639999999999</v>
      </c>
      <c r="V144" s="5">
        <v>5457.97</v>
      </c>
      <c r="W144" s="5">
        <v>3416.73</v>
      </c>
      <c r="X144" s="5">
        <v>2161.79</v>
      </c>
      <c r="Y144" s="4">
        <v>2828387</v>
      </c>
    </row>
    <row r="145" spans="1:25" ht="16.05" customHeight="1" x14ac:dyDescent="0.3">
      <c r="A145" s="7">
        <v>3048</v>
      </c>
      <c r="B145" s="7">
        <v>44</v>
      </c>
      <c r="C145" s="7">
        <v>2022</v>
      </c>
      <c r="D145" s="8" t="s">
        <v>27</v>
      </c>
      <c r="E145" s="9">
        <v>2432</v>
      </c>
      <c r="F145" s="10">
        <v>110973781.90000001</v>
      </c>
      <c r="G145" s="10">
        <v>14881584.15</v>
      </c>
      <c r="H145" s="11">
        <v>13.41</v>
      </c>
      <c r="I145" s="11">
        <v>18.350000000000001</v>
      </c>
      <c r="J145" s="10">
        <v>9416.68</v>
      </c>
      <c r="K145" s="10">
        <v>4386.6499999999996</v>
      </c>
      <c r="L145" s="10">
        <v>110943633.3</v>
      </c>
      <c r="M145" s="10">
        <v>110960706.2</v>
      </c>
      <c r="N145" s="10">
        <v>30148.6</v>
      </c>
      <c r="O145" s="10">
        <v>110949891.59999999</v>
      </c>
      <c r="P145" s="10">
        <v>110940190.59999999</v>
      </c>
      <c r="Q145" s="10">
        <v>9700.91</v>
      </c>
      <c r="R145" s="10">
        <v>20363688.969999999</v>
      </c>
      <c r="S145" s="10">
        <v>-5482104.8200000003</v>
      </c>
      <c r="T145" s="10">
        <v>29714.77</v>
      </c>
      <c r="U145" s="10">
        <v>59131.74</v>
      </c>
      <c r="V145" s="10">
        <v>5264.01</v>
      </c>
      <c r="W145" s="10">
        <v>994.28</v>
      </c>
      <c r="X145" s="10">
        <v>3940.15</v>
      </c>
      <c r="Y145" s="9">
        <v>4785193</v>
      </c>
    </row>
    <row r="146" spans="1:25" ht="16.05" customHeight="1" x14ac:dyDescent="0.3">
      <c r="A146" s="2">
        <v>3118</v>
      </c>
      <c r="B146" s="2">
        <v>45</v>
      </c>
      <c r="C146" s="2">
        <v>2022</v>
      </c>
      <c r="D146" s="3" t="s">
        <v>27</v>
      </c>
      <c r="E146" s="4">
        <v>4428</v>
      </c>
      <c r="F146" s="5">
        <v>28538172.77</v>
      </c>
      <c r="G146" s="5">
        <v>2057602.26</v>
      </c>
      <c r="H146" s="6">
        <v>7.21</v>
      </c>
      <c r="I146" s="6">
        <v>19.21</v>
      </c>
      <c r="J146" s="5">
        <v>14752.87</v>
      </c>
      <c r="K146" s="5">
        <v>17602.93</v>
      </c>
      <c r="L146" s="5">
        <v>28481159.41</v>
      </c>
      <c r="M146" s="5">
        <v>28522662.960000001</v>
      </c>
      <c r="N146" s="5">
        <v>57013.36</v>
      </c>
      <c r="O146" s="5">
        <v>28488042.699999999</v>
      </c>
      <c r="P146" s="5">
        <v>28476801.140000001</v>
      </c>
      <c r="Q146" s="5">
        <v>11241.56</v>
      </c>
      <c r="R146" s="5">
        <v>5482182.9900000002</v>
      </c>
      <c r="S146" s="5">
        <v>-3424580.73</v>
      </c>
      <c r="T146" s="5">
        <v>14162.47</v>
      </c>
      <c r="U146" s="5">
        <v>35202.31</v>
      </c>
      <c r="V146" s="5">
        <v>4331.38</v>
      </c>
      <c r="W146" s="5">
        <v>2551.91</v>
      </c>
      <c r="X146" s="5">
        <v>3944.42</v>
      </c>
      <c r="Y146" s="4">
        <v>4222000</v>
      </c>
    </row>
    <row r="147" spans="1:25" ht="16.05" customHeight="1" x14ac:dyDescent="0.3">
      <c r="A147" s="7">
        <v>3188</v>
      </c>
      <c r="B147" s="7">
        <v>46</v>
      </c>
      <c r="C147" s="7">
        <v>2022</v>
      </c>
      <c r="D147" s="8" t="s">
        <v>27</v>
      </c>
      <c r="E147" s="9">
        <v>4455</v>
      </c>
      <c r="F147" s="10">
        <v>114692941.2</v>
      </c>
      <c r="G147" s="10">
        <v>30634484.59</v>
      </c>
      <c r="H147" s="11">
        <v>26.71</v>
      </c>
      <c r="I147" s="11">
        <v>13.61</v>
      </c>
      <c r="J147" s="10">
        <v>8373.33</v>
      </c>
      <c r="K147" s="10">
        <v>3385.51</v>
      </c>
      <c r="L147" s="10">
        <v>114642989.09999999</v>
      </c>
      <c r="M147" s="10">
        <v>114685934</v>
      </c>
      <c r="N147" s="10">
        <v>49952.03</v>
      </c>
      <c r="O147" s="10">
        <v>114654769.3</v>
      </c>
      <c r="P147" s="10">
        <v>114650781.59999999</v>
      </c>
      <c r="Q147" s="10">
        <v>3987.75</v>
      </c>
      <c r="R147" s="10">
        <v>15609709.289999999</v>
      </c>
      <c r="S147" s="10">
        <v>15024775.289999999</v>
      </c>
      <c r="T147" s="10">
        <v>82732.78</v>
      </c>
      <c r="U147" s="10">
        <v>9974.74</v>
      </c>
      <c r="V147" s="10">
        <v>10112.52</v>
      </c>
      <c r="W147" s="10">
        <v>1667.65</v>
      </c>
      <c r="X147" s="10">
        <v>2595.85</v>
      </c>
      <c r="Y147" s="9">
        <v>4462759</v>
      </c>
    </row>
    <row r="148" spans="1:25" ht="16.05" customHeight="1" x14ac:dyDescent="0.3">
      <c r="A148" s="2">
        <v>3258</v>
      </c>
      <c r="B148" s="2">
        <v>47</v>
      </c>
      <c r="C148" s="2">
        <v>2022</v>
      </c>
      <c r="D148" s="3" t="s">
        <v>27</v>
      </c>
      <c r="E148" s="4">
        <v>1886</v>
      </c>
      <c r="F148" s="5">
        <v>17790549.600000001</v>
      </c>
      <c r="G148" s="5">
        <v>3846316.82</v>
      </c>
      <c r="H148" s="6">
        <v>21.62</v>
      </c>
      <c r="I148" s="6">
        <v>13.32</v>
      </c>
      <c r="J148" s="5">
        <v>12066.49</v>
      </c>
      <c r="K148" s="5">
        <v>15186.26</v>
      </c>
      <c r="L148" s="5">
        <v>17748281.620000001</v>
      </c>
      <c r="M148" s="5">
        <v>17775086.199999999</v>
      </c>
      <c r="N148" s="5">
        <v>42267.98</v>
      </c>
      <c r="O148" s="5">
        <v>17764673.239999998</v>
      </c>
      <c r="P148" s="5">
        <v>17759800.489999998</v>
      </c>
      <c r="Q148" s="5">
        <v>4872.75</v>
      </c>
      <c r="R148" s="5">
        <v>2369701.21</v>
      </c>
      <c r="S148" s="5">
        <v>1476615.62</v>
      </c>
      <c r="T148" s="5">
        <v>72532.5</v>
      </c>
      <c r="U148" s="5">
        <v>17611.89</v>
      </c>
      <c r="V148" s="5">
        <v>11136.46</v>
      </c>
      <c r="W148" s="5">
        <v>5255.16</v>
      </c>
      <c r="X148" s="5">
        <v>1159.24</v>
      </c>
      <c r="Y148" s="4">
        <v>2607255</v>
      </c>
    </row>
    <row r="149" spans="1:25" ht="16.05" customHeight="1" x14ac:dyDescent="0.3">
      <c r="A149" s="7">
        <v>3328</v>
      </c>
      <c r="B149" s="7">
        <v>48</v>
      </c>
      <c r="C149" s="7">
        <v>2022</v>
      </c>
      <c r="D149" s="8" t="s">
        <v>27</v>
      </c>
      <c r="E149" s="9">
        <v>6677</v>
      </c>
      <c r="F149" s="10">
        <v>192257740.09999999</v>
      </c>
      <c r="G149" s="10">
        <v>31607172.469999999</v>
      </c>
      <c r="H149" s="11">
        <v>16.440000000000001</v>
      </c>
      <c r="I149" s="11">
        <v>9.41</v>
      </c>
      <c r="J149" s="10">
        <v>10528.86</v>
      </c>
      <c r="K149" s="10">
        <v>13848.55</v>
      </c>
      <c r="L149" s="10">
        <v>192207155.90000001</v>
      </c>
      <c r="M149" s="10">
        <v>192243943.90000001</v>
      </c>
      <c r="N149" s="10">
        <v>50584.15</v>
      </c>
      <c r="O149" s="10">
        <v>192217614.69999999</v>
      </c>
      <c r="P149" s="10">
        <v>192212834.69999999</v>
      </c>
      <c r="Q149" s="10">
        <v>4779.9799999999996</v>
      </c>
      <c r="R149" s="10">
        <v>18091453.34</v>
      </c>
      <c r="S149" s="10">
        <v>13515719.130000001</v>
      </c>
      <c r="T149" s="10">
        <v>118392.23</v>
      </c>
      <c r="U149" s="10">
        <v>25115.71</v>
      </c>
      <c r="V149" s="10">
        <v>2594.12</v>
      </c>
      <c r="W149" s="10">
        <v>7864.65</v>
      </c>
      <c r="X149" s="10">
        <v>2934.52</v>
      </c>
      <c r="Y149" s="9">
        <v>4780585</v>
      </c>
    </row>
    <row r="150" spans="1:25" ht="16.05" customHeight="1" x14ac:dyDescent="0.3">
      <c r="A150" s="2">
        <v>3398</v>
      </c>
      <c r="B150" s="2">
        <v>49</v>
      </c>
      <c r="C150" s="2">
        <v>2022</v>
      </c>
      <c r="D150" s="3" t="s">
        <v>27</v>
      </c>
      <c r="E150" s="4">
        <v>4349</v>
      </c>
      <c r="F150" s="5">
        <v>136182226.59999999</v>
      </c>
      <c r="G150" s="5">
        <v>27890120.02</v>
      </c>
      <c r="H150" s="6">
        <v>20.48</v>
      </c>
      <c r="I150" s="6">
        <v>5.69</v>
      </c>
      <c r="J150" s="5">
        <v>13305.71</v>
      </c>
      <c r="K150" s="5">
        <v>15882.52</v>
      </c>
      <c r="L150" s="5">
        <v>136087546</v>
      </c>
      <c r="M150" s="5">
        <v>136159026.59999999</v>
      </c>
      <c r="N150" s="5">
        <v>94680.6</v>
      </c>
      <c r="O150" s="5">
        <v>136100526.30000001</v>
      </c>
      <c r="P150" s="5">
        <v>136089469.09999999</v>
      </c>
      <c r="Q150" s="5">
        <v>11057.17</v>
      </c>
      <c r="R150" s="5">
        <v>7748768.7000000002</v>
      </c>
      <c r="S150" s="5">
        <v>20141351.32</v>
      </c>
      <c r="T150" s="5">
        <v>119663.88</v>
      </c>
      <c r="U150" s="5">
        <v>31126.83</v>
      </c>
      <c r="V150" s="5">
        <v>5062.2700000000004</v>
      </c>
      <c r="W150" s="5">
        <v>7917.97</v>
      </c>
      <c r="X150" s="5">
        <v>3416.95</v>
      </c>
      <c r="Y150" s="4">
        <v>2656871</v>
      </c>
    </row>
    <row r="151" spans="1:25" ht="16.05" customHeight="1" x14ac:dyDescent="0.3">
      <c r="A151" s="7">
        <v>3468</v>
      </c>
      <c r="B151" s="7">
        <v>50</v>
      </c>
      <c r="C151" s="7">
        <v>2022</v>
      </c>
      <c r="D151" s="8" t="s">
        <v>27</v>
      </c>
      <c r="E151" s="9">
        <v>3173</v>
      </c>
      <c r="F151" s="10">
        <v>124591451.2</v>
      </c>
      <c r="G151" s="10">
        <v>24345169.559999999</v>
      </c>
      <c r="H151" s="11">
        <v>19.54</v>
      </c>
      <c r="I151" s="11">
        <v>18.12</v>
      </c>
      <c r="J151" s="10">
        <v>2169.88</v>
      </c>
      <c r="K151" s="10">
        <v>8930.14</v>
      </c>
      <c r="L151" s="10">
        <v>124502630.59999999</v>
      </c>
      <c r="M151" s="10">
        <v>124571713.40000001</v>
      </c>
      <c r="N151" s="10">
        <v>88820.55</v>
      </c>
      <c r="O151" s="10">
        <v>124507847.40000001</v>
      </c>
      <c r="P151" s="10">
        <v>124499959.3</v>
      </c>
      <c r="Q151" s="10">
        <v>7888.13</v>
      </c>
      <c r="R151" s="10">
        <v>22575970.960000001</v>
      </c>
      <c r="S151" s="10">
        <v>1769198.61</v>
      </c>
      <c r="T151" s="10">
        <v>108188.87</v>
      </c>
      <c r="U151" s="10">
        <v>11585.83</v>
      </c>
      <c r="V151" s="10">
        <v>1986.4</v>
      </c>
      <c r="W151" s="10">
        <v>3230.36</v>
      </c>
      <c r="X151" s="10">
        <v>1217.55</v>
      </c>
      <c r="Y151" s="9">
        <v>1279115</v>
      </c>
    </row>
    <row r="152" spans="1:25" ht="16.05" customHeight="1" x14ac:dyDescent="0.3">
      <c r="A152" s="2">
        <v>8</v>
      </c>
      <c r="B152" s="2">
        <v>1</v>
      </c>
      <c r="C152" s="2">
        <v>2022</v>
      </c>
      <c r="D152" s="3" t="s">
        <v>28</v>
      </c>
      <c r="E152" s="4">
        <v>326</v>
      </c>
      <c r="F152" s="5">
        <v>12135287.34</v>
      </c>
      <c r="G152" s="5">
        <v>2543556.23</v>
      </c>
      <c r="H152" s="6">
        <v>20.96</v>
      </c>
      <c r="I152" s="6">
        <v>6.19</v>
      </c>
      <c r="J152" s="5">
        <v>12484.85</v>
      </c>
      <c r="K152" s="5">
        <v>5272.82</v>
      </c>
      <c r="L152" s="5">
        <v>12063587.85</v>
      </c>
      <c r="M152" s="5">
        <v>12120824.960000001</v>
      </c>
      <c r="N152" s="5">
        <v>71699.490000000005</v>
      </c>
      <c r="O152" s="5">
        <v>12074649.619999999</v>
      </c>
      <c r="P152" s="5">
        <v>12070409.92</v>
      </c>
      <c r="Q152" s="5">
        <v>4239.7</v>
      </c>
      <c r="R152" s="5">
        <v>751174.29</v>
      </c>
      <c r="S152" s="5">
        <v>1792381.94</v>
      </c>
      <c r="T152" s="5">
        <v>113126.79</v>
      </c>
      <c r="U152" s="5">
        <v>57125.95</v>
      </c>
      <c r="V152" s="5">
        <v>3191.07</v>
      </c>
      <c r="W152" s="5">
        <v>7870.7</v>
      </c>
      <c r="X152" s="5">
        <v>3016.01</v>
      </c>
      <c r="Y152" s="4">
        <v>3496250</v>
      </c>
    </row>
    <row r="153" spans="1:25" ht="16.05" customHeight="1" x14ac:dyDescent="0.3">
      <c r="A153" s="7">
        <v>78</v>
      </c>
      <c r="B153" s="7">
        <v>2</v>
      </c>
      <c r="C153" s="7">
        <v>2022</v>
      </c>
      <c r="D153" s="8" t="s">
        <v>28</v>
      </c>
      <c r="E153" s="9">
        <v>3819</v>
      </c>
      <c r="F153" s="10">
        <v>61000431.640000001</v>
      </c>
      <c r="G153" s="10">
        <v>3574625.29</v>
      </c>
      <c r="H153" s="11">
        <v>5.86</v>
      </c>
      <c r="I153" s="11">
        <v>13.86</v>
      </c>
      <c r="J153" s="10">
        <v>6440.35</v>
      </c>
      <c r="K153" s="10">
        <v>9528.9</v>
      </c>
      <c r="L153" s="10">
        <v>60970698.979999997</v>
      </c>
      <c r="M153" s="10">
        <v>60975803.729999997</v>
      </c>
      <c r="N153" s="10">
        <v>29732.66</v>
      </c>
      <c r="O153" s="10">
        <v>60984567.460000001</v>
      </c>
      <c r="P153" s="10">
        <v>60969726.969999999</v>
      </c>
      <c r="Q153" s="10">
        <v>14840.49</v>
      </c>
      <c r="R153" s="10">
        <v>8454659.8200000003</v>
      </c>
      <c r="S153" s="10">
        <v>-4880034.53</v>
      </c>
      <c r="T153" s="10">
        <v>96276.97</v>
      </c>
      <c r="U153" s="10">
        <v>58881.84</v>
      </c>
      <c r="V153" s="10">
        <v>9003.94</v>
      </c>
      <c r="W153" s="10">
        <v>4864.54</v>
      </c>
      <c r="X153" s="10">
        <v>1459.27</v>
      </c>
      <c r="Y153" s="9">
        <v>4787082</v>
      </c>
    </row>
    <row r="154" spans="1:25" ht="16.05" customHeight="1" x14ac:dyDescent="0.3">
      <c r="A154" s="2">
        <v>148</v>
      </c>
      <c r="B154" s="2">
        <v>3</v>
      </c>
      <c r="C154" s="2">
        <v>2022</v>
      </c>
      <c r="D154" s="3" t="s">
        <v>28</v>
      </c>
      <c r="E154" s="4">
        <v>2235</v>
      </c>
      <c r="F154" s="5">
        <v>57019989.329999998</v>
      </c>
      <c r="G154" s="5">
        <v>12629927.640000001</v>
      </c>
      <c r="H154" s="6">
        <v>22.15</v>
      </c>
      <c r="I154" s="6">
        <v>19</v>
      </c>
      <c r="J154" s="5">
        <v>7299.29</v>
      </c>
      <c r="K154" s="5">
        <v>16739.689999999999</v>
      </c>
      <c r="L154" s="5">
        <v>56970217.420000002</v>
      </c>
      <c r="M154" s="5">
        <v>57014208.140000001</v>
      </c>
      <c r="N154" s="5">
        <v>49771.91</v>
      </c>
      <c r="O154" s="5">
        <v>56975579.450000003</v>
      </c>
      <c r="P154" s="5">
        <v>56962298.359999999</v>
      </c>
      <c r="Q154" s="5">
        <v>13281.09</v>
      </c>
      <c r="R154" s="5">
        <v>10833797.970000001</v>
      </c>
      <c r="S154" s="5">
        <v>1796129.66</v>
      </c>
      <c r="T154" s="5">
        <v>37091.410000000003</v>
      </c>
      <c r="U154" s="5">
        <v>37433.99</v>
      </c>
      <c r="V154" s="5">
        <v>3885.03</v>
      </c>
      <c r="W154" s="5">
        <v>1477</v>
      </c>
      <c r="X154" s="5">
        <v>1848.57</v>
      </c>
      <c r="Y154" s="4">
        <v>1584828</v>
      </c>
    </row>
    <row r="155" spans="1:25" ht="16.05" customHeight="1" x14ac:dyDescent="0.3">
      <c r="A155" s="7">
        <v>218</v>
      </c>
      <c r="B155" s="7">
        <v>4</v>
      </c>
      <c r="C155" s="7">
        <v>2022</v>
      </c>
      <c r="D155" s="8" t="s">
        <v>28</v>
      </c>
      <c r="E155" s="9">
        <v>2142</v>
      </c>
      <c r="F155" s="10">
        <v>25591559.5</v>
      </c>
      <c r="G155" s="10">
        <v>6267372.9199999999</v>
      </c>
      <c r="H155" s="11">
        <v>24.49</v>
      </c>
      <c r="I155" s="11">
        <v>11.1</v>
      </c>
      <c r="J155" s="10">
        <v>14448.64</v>
      </c>
      <c r="K155" s="10">
        <v>3529.02</v>
      </c>
      <c r="L155" s="10">
        <v>25512780.699999999</v>
      </c>
      <c r="M155" s="10">
        <v>25580745.760000002</v>
      </c>
      <c r="N155" s="10">
        <v>78778.8</v>
      </c>
      <c r="O155" s="10">
        <v>25521455.68</v>
      </c>
      <c r="P155" s="10">
        <v>25510702.48</v>
      </c>
      <c r="Q155" s="10">
        <v>10753.2</v>
      </c>
      <c r="R155" s="10">
        <v>2840663.1</v>
      </c>
      <c r="S155" s="10">
        <v>3426709.82</v>
      </c>
      <c r="T155" s="10">
        <v>102036.03</v>
      </c>
      <c r="U155" s="10">
        <v>28495.38</v>
      </c>
      <c r="V155" s="10">
        <v>4914.62</v>
      </c>
      <c r="W155" s="10">
        <v>3760.36</v>
      </c>
      <c r="X155" s="10">
        <v>2889.27</v>
      </c>
      <c r="Y155" s="9">
        <v>1844913</v>
      </c>
    </row>
    <row r="156" spans="1:25" ht="16.05" customHeight="1" x14ac:dyDescent="0.3">
      <c r="A156" s="2">
        <v>288</v>
      </c>
      <c r="B156" s="2">
        <v>5</v>
      </c>
      <c r="C156" s="2">
        <v>2022</v>
      </c>
      <c r="D156" s="3" t="s">
        <v>28</v>
      </c>
      <c r="E156" s="4">
        <v>1214</v>
      </c>
      <c r="F156" s="5">
        <v>39660172.259999998</v>
      </c>
      <c r="G156" s="5">
        <v>5262904.8600000003</v>
      </c>
      <c r="H156" s="6">
        <v>13.27</v>
      </c>
      <c r="I156" s="6">
        <v>10.07</v>
      </c>
      <c r="J156" s="5">
        <v>3855.93</v>
      </c>
      <c r="K156" s="5">
        <v>11693.39</v>
      </c>
      <c r="L156" s="5">
        <v>39607079.75</v>
      </c>
      <c r="M156" s="5">
        <v>39648208.770000003</v>
      </c>
      <c r="N156" s="5">
        <v>53092.51</v>
      </c>
      <c r="O156" s="5">
        <v>39620881.670000002</v>
      </c>
      <c r="P156" s="5">
        <v>39614624.210000001</v>
      </c>
      <c r="Q156" s="5">
        <v>6257.46</v>
      </c>
      <c r="R156" s="5">
        <v>3993779.35</v>
      </c>
      <c r="S156" s="5">
        <v>1269125.51</v>
      </c>
      <c r="T156" s="5">
        <v>90115.54</v>
      </c>
      <c r="U156" s="5">
        <v>55334.98</v>
      </c>
      <c r="V156" s="5">
        <v>8922.92</v>
      </c>
      <c r="W156" s="5">
        <v>4879</v>
      </c>
      <c r="X156" s="5">
        <v>4778.88</v>
      </c>
      <c r="Y156" s="4">
        <v>3801609</v>
      </c>
    </row>
    <row r="157" spans="1:25" ht="16.05" customHeight="1" x14ac:dyDescent="0.3">
      <c r="A157" s="7">
        <v>358</v>
      </c>
      <c r="B157" s="7">
        <v>6</v>
      </c>
      <c r="C157" s="7">
        <v>2022</v>
      </c>
      <c r="D157" s="8" t="s">
        <v>28</v>
      </c>
      <c r="E157" s="9">
        <v>2920</v>
      </c>
      <c r="F157" s="10">
        <v>136471758</v>
      </c>
      <c r="G157" s="10">
        <v>14698008.34</v>
      </c>
      <c r="H157" s="11">
        <v>10.77</v>
      </c>
      <c r="I157" s="11">
        <v>10.25</v>
      </c>
      <c r="J157" s="10">
        <v>5821.17</v>
      </c>
      <c r="K157" s="10">
        <v>3204.87</v>
      </c>
      <c r="L157" s="10">
        <v>136382231.59999999</v>
      </c>
      <c r="M157" s="10">
        <v>136453467.80000001</v>
      </c>
      <c r="N157" s="10">
        <v>89526.42</v>
      </c>
      <c r="O157" s="10">
        <v>136389449.59999999</v>
      </c>
      <c r="P157" s="10">
        <v>136383779</v>
      </c>
      <c r="Q157" s="10">
        <v>5670.57</v>
      </c>
      <c r="R157" s="10">
        <v>13988355.199999999</v>
      </c>
      <c r="S157" s="10">
        <v>709653.14</v>
      </c>
      <c r="T157" s="10">
        <v>70459.89</v>
      </c>
      <c r="U157" s="10">
        <v>48013.29</v>
      </c>
      <c r="V157" s="10">
        <v>1470.51</v>
      </c>
      <c r="W157" s="10">
        <v>5747.49</v>
      </c>
      <c r="X157" s="10">
        <v>1928.37</v>
      </c>
      <c r="Y157" s="9">
        <v>2753769</v>
      </c>
    </row>
    <row r="158" spans="1:25" ht="16.05" customHeight="1" x14ac:dyDescent="0.3">
      <c r="A158" s="2">
        <v>428</v>
      </c>
      <c r="B158" s="2">
        <v>7</v>
      </c>
      <c r="C158" s="2">
        <v>2022</v>
      </c>
      <c r="D158" s="3" t="s">
        <v>28</v>
      </c>
      <c r="E158" s="4">
        <v>4966</v>
      </c>
      <c r="F158" s="5">
        <v>141420320.09999999</v>
      </c>
      <c r="G158" s="5">
        <v>31070044.329999998</v>
      </c>
      <c r="H158" s="6">
        <v>21.97</v>
      </c>
      <c r="I158" s="6">
        <v>6.54</v>
      </c>
      <c r="J158" s="5">
        <v>5131.13</v>
      </c>
      <c r="K158" s="5">
        <v>13626.03</v>
      </c>
      <c r="L158" s="5">
        <v>141368482.69999999</v>
      </c>
      <c r="M158" s="5">
        <v>141410722</v>
      </c>
      <c r="N158" s="5">
        <v>51837.440000000002</v>
      </c>
      <c r="O158" s="5">
        <v>141386391.80000001</v>
      </c>
      <c r="P158" s="5">
        <v>141371846.80000001</v>
      </c>
      <c r="Q158" s="5">
        <v>14544.98</v>
      </c>
      <c r="R158" s="5">
        <v>9248888.9399999995</v>
      </c>
      <c r="S158" s="5">
        <v>21821155.399999999</v>
      </c>
      <c r="T158" s="5">
        <v>55847.1</v>
      </c>
      <c r="U158" s="5">
        <v>44359.91</v>
      </c>
      <c r="V158" s="5">
        <v>10198.450000000001</v>
      </c>
      <c r="W158" s="5">
        <v>7710.67</v>
      </c>
      <c r="X158" s="5">
        <v>3918.92</v>
      </c>
      <c r="Y158" s="4">
        <v>4969897</v>
      </c>
    </row>
    <row r="159" spans="1:25" ht="16.05" customHeight="1" x14ac:dyDescent="0.3">
      <c r="A159" s="7">
        <v>498</v>
      </c>
      <c r="B159" s="7">
        <v>8</v>
      </c>
      <c r="C159" s="7">
        <v>2022</v>
      </c>
      <c r="D159" s="8" t="s">
        <v>28</v>
      </c>
      <c r="E159" s="9">
        <v>4665</v>
      </c>
      <c r="F159" s="10">
        <v>281350544.10000002</v>
      </c>
      <c r="G159" s="10">
        <v>35872194.380000003</v>
      </c>
      <c r="H159" s="11">
        <v>12.75</v>
      </c>
      <c r="I159" s="11">
        <v>13.06</v>
      </c>
      <c r="J159" s="10">
        <v>10429.4</v>
      </c>
      <c r="K159" s="10">
        <v>14515.43</v>
      </c>
      <c r="L159" s="10">
        <v>281314795.19999999</v>
      </c>
      <c r="M159" s="10">
        <v>281329874.39999998</v>
      </c>
      <c r="N159" s="10">
        <v>35748.94</v>
      </c>
      <c r="O159" s="10">
        <v>281320391.39999998</v>
      </c>
      <c r="P159" s="10">
        <v>281312020.10000002</v>
      </c>
      <c r="Q159" s="10">
        <v>8371.31</v>
      </c>
      <c r="R159" s="10">
        <v>36744381.060000002</v>
      </c>
      <c r="S159" s="10">
        <v>-872186.69</v>
      </c>
      <c r="T159" s="10">
        <v>94527.57</v>
      </c>
      <c r="U159" s="10">
        <v>6212.09</v>
      </c>
      <c r="V159" s="10">
        <v>1902.02</v>
      </c>
      <c r="W159" s="10">
        <v>3694.21</v>
      </c>
      <c r="X159" s="10">
        <v>4674.5600000000004</v>
      </c>
      <c r="Y159" s="9">
        <v>1989724</v>
      </c>
    </row>
    <row r="160" spans="1:25" ht="16.05" customHeight="1" x14ac:dyDescent="0.3">
      <c r="A160" s="2">
        <v>568</v>
      </c>
      <c r="B160" s="2">
        <v>9</v>
      </c>
      <c r="C160" s="2">
        <v>2022</v>
      </c>
      <c r="D160" s="3" t="s">
        <v>28</v>
      </c>
      <c r="E160" s="4">
        <v>1663</v>
      </c>
      <c r="F160" s="5">
        <v>56162420.009999998</v>
      </c>
      <c r="G160" s="5">
        <v>9109544.5299999993</v>
      </c>
      <c r="H160" s="6">
        <v>16.22</v>
      </c>
      <c r="I160" s="6">
        <v>8.4499999999999993</v>
      </c>
      <c r="J160" s="5">
        <v>11898.23</v>
      </c>
      <c r="K160" s="5">
        <v>10725.24</v>
      </c>
      <c r="L160" s="5">
        <v>56074617.520000003</v>
      </c>
      <c r="M160" s="5">
        <v>56144824.479999997</v>
      </c>
      <c r="N160" s="5">
        <v>87802.49</v>
      </c>
      <c r="O160" s="5">
        <v>56087227.82</v>
      </c>
      <c r="P160" s="5">
        <v>56072396.549999997</v>
      </c>
      <c r="Q160" s="5">
        <v>14831.27</v>
      </c>
      <c r="R160" s="5">
        <v>4745724.49</v>
      </c>
      <c r="S160" s="5">
        <v>4363820.04</v>
      </c>
      <c r="T160" s="5">
        <v>104806.34</v>
      </c>
      <c r="U160" s="5">
        <v>15749.54</v>
      </c>
      <c r="V160" s="5">
        <v>6215.57</v>
      </c>
      <c r="W160" s="5">
        <v>6394.73</v>
      </c>
      <c r="X160" s="5">
        <v>2065.9299999999998</v>
      </c>
      <c r="Y160" s="4">
        <v>2831921</v>
      </c>
    </row>
    <row r="161" spans="1:25" ht="16.05" customHeight="1" x14ac:dyDescent="0.3">
      <c r="A161" s="7">
        <v>638</v>
      </c>
      <c r="B161" s="7">
        <v>10</v>
      </c>
      <c r="C161" s="7">
        <v>2022</v>
      </c>
      <c r="D161" s="8" t="s">
        <v>28</v>
      </c>
      <c r="E161" s="9">
        <v>2326</v>
      </c>
      <c r="F161" s="10">
        <v>153748914.5</v>
      </c>
      <c r="G161" s="10">
        <v>15897637.76</v>
      </c>
      <c r="H161" s="11">
        <v>10.34</v>
      </c>
      <c r="I161" s="11">
        <v>14.97</v>
      </c>
      <c r="J161" s="10">
        <v>14314.02</v>
      </c>
      <c r="K161" s="10">
        <v>17389.669999999998</v>
      </c>
      <c r="L161" s="10">
        <v>153715537.69999999</v>
      </c>
      <c r="M161" s="10">
        <v>153743728.80000001</v>
      </c>
      <c r="N161" s="10">
        <v>33376.800000000003</v>
      </c>
      <c r="O161" s="10">
        <v>153731103</v>
      </c>
      <c r="P161" s="10">
        <v>153729211</v>
      </c>
      <c r="Q161" s="10">
        <v>1892.04</v>
      </c>
      <c r="R161" s="10">
        <v>23016212.510000002</v>
      </c>
      <c r="S161" s="10">
        <v>-7118574.7400000002</v>
      </c>
      <c r="T161" s="10">
        <v>17760.439999999999</v>
      </c>
      <c r="U161" s="10">
        <v>5260.96</v>
      </c>
      <c r="V161" s="10">
        <v>9899.51</v>
      </c>
      <c r="W161" s="10">
        <v>5665.79</v>
      </c>
      <c r="X161" s="10">
        <v>4613.43</v>
      </c>
      <c r="Y161" s="9">
        <v>3303009</v>
      </c>
    </row>
    <row r="162" spans="1:25" ht="16.05" customHeight="1" x14ac:dyDescent="0.3">
      <c r="A162" s="2">
        <v>708</v>
      </c>
      <c r="B162" s="2">
        <v>11</v>
      </c>
      <c r="C162" s="2">
        <v>2022</v>
      </c>
      <c r="D162" s="3" t="s">
        <v>28</v>
      </c>
      <c r="E162" s="4">
        <v>3511</v>
      </c>
      <c r="F162" s="5">
        <v>180578620.90000001</v>
      </c>
      <c r="G162" s="5">
        <v>35429525.409999996</v>
      </c>
      <c r="H162" s="6">
        <v>19.62</v>
      </c>
      <c r="I162" s="6">
        <v>13.12</v>
      </c>
      <c r="J162" s="5">
        <v>1589.05</v>
      </c>
      <c r="K162" s="5">
        <v>4477.87</v>
      </c>
      <c r="L162" s="5">
        <v>180553048.19999999</v>
      </c>
      <c r="M162" s="5">
        <v>180569502.69999999</v>
      </c>
      <c r="N162" s="5">
        <v>25572.67</v>
      </c>
      <c r="O162" s="5">
        <v>180559275</v>
      </c>
      <c r="P162" s="5">
        <v>180548906.30000001</v>
      </c>
      <c r="Q162" s="5">
        <v>10368.74</v>
      </c>
      <c r="R162" s="5">
        <v>23691915.059999999</v>
      </c>
      <c r="S162" s="5">
        <v>11737610.359999999</v>
      </c>
      <c r="T162" s="5">
        <v>45897.45</v>
      </c>
      <c r="U162" s="5">
        <v>48513.89</v>
      </c>
      <c r="V162" s="5">
        <v>3902.31</v>
      </c>
      <c r="W162" s="5">
        <v>2324.52</v>
      </c>
      <c r="X162" s="5">
        <v>4511.88</v>
      </c>
      <c r="Y162" s="4">
        <v>3594050</v>
      </c>
    </row>
    <row r="163" spans="1:25" ht="16.05" customHeight="1" x14ac:dyDescent="0.3">
      <c r="A163" s="7">
        <v>778</v>
      </c>
      <c r="B163" s="7">
        <v>12</v>
      </c>
      <c r="C163" s="7">
        <v>2022</v>
      </c>
      <c r="D163" s="8" t="s">
        <v>28</v>
      </c>
      <c r="E163" s="9">
        <v>6855</v>
      </c>
      <c r="F163" s="10">
        <v>359833118.39999998</v>
      </c>
      <c r="G163" s="10">
        <v>22525553.210000001</v>
      </c>
      <c r="H163" s="11">
        <v>6.26</v>
      </c>
      <c r="I163" s="11">
        <v>5.82</v>
      </c>
      <c r="J163" s="10">
        <v>1003.06</v>
      </c>
      <c r="K163" s="10">
        <v>3002</v>
      </c>
      <c r="L163" s="10">
        <v>359801924.60000002</v>
      </c>
      <c r="M163" s="10">
        <v>359827653.30000001</v>
      </c>
      <c r="N163" s="10">
        <v>31193.81</v>
      </c>
      <c r="O163" s="10">
        <v>359811230.69999999</v>
      </c>
      <c r="P163" s="10">
        <v>359802103.39999998</v>
      </c>
      <c r="Q163" s="10">
        <v>9127.35</v>
      </c>
      <c r="R163" s="10">
        <v>20942287.489999998</v>
      </c>
      <c r="S163" s="10">
        <v>1583265.72</v>
      </c>
      <c r="T163" s="10">
        <v>45300.88</v>
      </c>
      <c r="U163" s="10">
        <v>7682.09</v>
      </c>
      <c r="V163" s="10">
        <v>8108.03</v>
      </c>
      <c r="W163" s="10">
        <v>1198.1199999999999</v>
      </c>
      <c r="X163" s="10">
        <v>3792.58</v>
      </c>
      <c r="Y163" s="9">
        <v>3149717</v>
      </c>
    </row>
    <row r="164" spans="1:25" ht="16.05" customHeight="1" x14ac:dyDescent="0.3">
      <c r="A164" s="2">
        <v>848</v>
      </c>
      <c r="B164" s="2">
        <v>13</v>
      </c>
      <c r="C164" s="2">
        <v>2022</v>
      </c>
      <c r="D164" s="3" t="s">
        <v>28</v>
      </c>
      <c r="E164" s="4">
        <v>1888</v>
      </c>
      <c r="F164" s="5">
        <v>131962437.09999999</v>
      </c>
      <c r="G164" s="5">
        <v>8471988.4600000009</v>
      </c>
      <c r="H164" s="6">
        <v>6.42</v>
      </c>
      <c r="I164" s="6">
        <v>15.71</v>
      </c>
      <c r="J164" s="5">
        <v>12481.14</v>
      </c>
      <c r="K164" s="5">
        <v>13344.52</v>
      </c>
      <c r="L164" s="5">
        <v>131944592.90000001</v>
      </c>
      <c r="M164" s="5">
        <v>131955891.8</v>
      </c>
      <c r="N164" s="5">
        <v>17844.13</v>
      </c>
      <c r="O164" s="5">
        <v>131962909.90000001</v>
      </c>
      <c r="P164" s="5">
        <v>131948513.2</v>
      </c>
      <c r="Q164" s="5">
        <v>14396.71</v>
      </c>
      <c r="R164" s="5">
        <v>20731298.859999999</v>
      </c>
      <c r="S164" s="5">
        <v>-12259310.4</v>
      </c>
      <c r="T164" s="5">
        <v>47059.7</v>
      </c>
      <c r="U164" s="5">
        <v>16622.89</v>
      </c>
      <c r="V164" s="5">
        <v>10859.2</v>
      </c>
      <c r="W164" s="5">
        <v>7457.74</v>
      </c>
      <c r="X164" s="5">
        <v>3914.83</v>
      </c>
      <c r="Y164" s="4">
        <v>3363370</v>
      </c>
    </row>
    <row r="165" spans="1:25" ht="16.05" customHeight="1" x14ac:dyDescent="0.3">
      <c r="A165" s="7">
        <v>918</v>
      </c>
      <c r="B165" s="7">
        <v>14</v>
      </c>
      <c r="C165" s="7">
        <v>2022</v>
      </c>
      <c r="D165" s="8" t="s">
        <v>28</v>
      </c>
      <c r="E165" s="9">
        <v>4916</v>
      </c>
      <c r="F165" s="10">
        <v>91690540.370000005</v>
      </c>
      <c r="G165" s="10">
        <v>25444124.949999999</v>
      </c>
      <c r="H165" s="11">
        <v>27.75</v>
      </c>
      <c r="I165" s="11">
        <v>15.16</v>
      </c>
      <c r="J165" s="10">
        <v>7655.15</v>
      </c>
      <c r="K165" s="10">
        <v>11687.25</v>
      </c>
      <c r="L165" s="10">
        <v>91592857.75</v>
      </c>
      <c r="M165" s="10">
        <v>91679174.299999997</v>
      </c>
      <c r="N165" s="10">
        <v>97682.62</v>
      </c>
      <c r="O165" s="10">
        <v>91603278.849999994</v>
      </c>
      <c r="P165" s="10">
        <v>91594184.590000004</v>
      </c>
      <c r="Q165" s="10">
        <v>9094.26</v>
      </c>
      <c r="R165" s="10">
        <v>13900285.92</v>
      </c>
      <c r="S165" s="10">
        <v>11543839.029999999</v>
      </c>
      <c r="T165" s="10">
        <v>23567.96</v>
      </c>
      <c r="U165" s="10">
        <v>26643.35</v>
      </c>
      <c r="V165" s="10">
        <v>7955.93</v>
      </c>
      <c r="W165" s="10">
        <v>2465.17</v>
      </c>
      <c r="X165" s="10">
        <v>1206.6199999999999</v>
      </c>
      <c r="Y165" s="9">
        <v>2757907</v>
      </c>
    </row>
    <row r="166" spans="1:25" ht="16.05" customHeight="1" x14ac:dyDescent="0.3">
      <c r="A166" s="2">
        <v>988</v>
      </c>
      <c r="B166" s="2">
        <v>15</v>
      </c>
      <c r="C166" s="2">
        <v>2022</v>
      </c>
      <c r="D166" s="3" t="s">
        <v>28</v>
      </c>
      <c r="E166" s="4">
        <v>1334</v>
      </c>
      <c r="F166" s="5">
        <v>90239723.969999999</v>
      </c>
      <c r="G166" s="5">
        <v>6388972.46</v>
      </c>
      <c r="H166" s="6">
        <v>7.08</v>
      </c>
      <c r="I166" s="6">
        <v>16.89</v>
      </c>
      <c r="J166" s="5">
        <v>1922.38</v>
      </c>
      <c r="K166" s="5">
        <v>14928.49</v>
      </c>
      <c r="L166" s="5">
        <v>90170090.769999996</v>
      </c>
      <c r="M166" s="5">
        <v>90230597.890000001</v>
      </c>
      <c r="N166" s="5">
        <v>69633.2</v>
      </c>
      <c r="O166" s="5">
        <v>90181127.939999998</v>
      </c>
      <c r="P166" s="5">
        <v>90179068.75</v>
      </c>
      <c r="Q166" s="5">
        <v>2059.19</v>
      </c>
      <c r="R166" s="5">
        <v>15241489.380000001</v>
      </c>
      <c r="S166" s="5">
        <v>-8852516.9199999999</v>
      </c>
      <c r="T166" s="5">
        <v>70577.22</v>
      </c>
      <c r="U166" s="5">
        <v>10870.16</v>
      </c>
      <c r="V166" s="5">
        <v>5302.51</v>
      </c>
      <c r="W166" s="5">
        <v>5734.66</v>
      </c>
      <c r="X166" s="5">
        <v>1824.82</v>
      </c>
      <c r="Y166" s="4">
        <v>2131867</v>
      </c>
    </row>
    <row r="167" spans="1:25" ht="16.05" customHeight="1" x14ac:dyDescent="0.3">
      <c r="A167" s="7">
        <v>1058</v>
      </c>
      <c r="B167" s="7">
        <v>16</v>
      </c>
      <c r="C167" s="7">
        <v>2022</v>
      </c>
      <c r="D167" s="8" t="s">
        <v>28</v>
      </c>
      <c r="E167" s="9">
        <v>3839</v>
      </c>
      <c r="F167" s="10">
        <v>99993089.329999998</v>
      </c>
      <c r="G167" s="10">
        <v>20438587.460000001</v>
      </c>
      <c r="H167" s="11">
        <v>20.440000000000001</v>
      </c>
      <c r="I167" s="11">
        <v>13.6</v>
      </c>
      <c r="J167" s="10">
        <v>5581.53</v>
      </c>
      <c r="K167" s="10">
        <v>10830.59</v>
      </c>
      <c r="L167" s="10">
        <v>99946681.590000004</v>
      </c>
      <c r="M167" s="10">
        <v>99977592.079999998</v>
      </c>
      <c r="N167" s="10">
        <v>46407.74</v>
      </c>
      <c r="O167" s="10">
        <v>99955805.230000004</v>
      </c>
      <c r="P167" s="10">
        <v>99944993.370000005</v>
      </c>
      <c r="Q167" s="10">
        <v>10811.86</v>
      </c>
      <c r="R167" s="10">
        <v>13599060.15</v>
      </c>
      <c r="S167" s="10">
        <v>6839527.3099999996</v>
      </c>
      <c r="T167" s="10">
        <v>32510.03</v>
      </c>
      <c r="U167" s="10">
        <v>17838.3</v>
      </c>
      <c r="V167" s="10">
        <v>5022.22</v>
      </c>
      <c r="W167" s="10">
        <v>4101.42</v>
      </c>
      <c r="X167" s="10">
        <v>2631.35</v>
      </c>
      <c r="Y167" s="9">
        <v>4807158</v>
      </c>
    </row>
    <row r="168" spans="1:25" ht="16.05" customHeight="1" x14ac:dyDescent="0.3">
      <c r="A168" s="2">
        <v>1128</v>
      </c>
      <c r="B168" s="2">
        <v>17</v>
      </c>
      <c r="C168" s="2">
        <v>2022</v>
      </c>
      <c r="D168" s="3" t="s">
        <v>28</v>
      </c>
      <c r="E168" s="4">
        <v>2201</v>
      </c>
      <c r="F168" s="5">
        <v>120490277.59999999</v>
      </c>
      <c r="G168" s="5">
        <v>6313690.5499999998</v>
      </c>
      <c r="H168" s="6">
        <v>5.24</v>
      </c>
      <c r="I168" s="6">
        <v>10.72</v>
      </c>
      <c r="J168" s="5">
        <v>5028.59</v>
      </c>
      <c r="K168" s="5">
        <v>5308.04</v>
      </c>
      <c r="L168" s="5">
        <v>120400780.5</v>
      </c>
      <c r="M168" s="5">
        <v>120465877.59999999</v>
      </c>
      <c r="N168" s="5">
        <v>89497.05</v>
      </c>
      <c r="O168" s="5">
        <v>120416686</v>
      </c>
      <c r="P168" s="5">
        <v>120407225.59999999</v>
      </c>
      <c r="Q168" s="5">
        <v>9460.42</v>
      </c>
      <c r="R168" s="5">
        <v>12916557.76</v>
      </c>
      <c r="S168" s="5">
        <v>-6602867.21</v>
      </c>
      <c r="T168" s="5">
        <v>116508.18</v>
      </c>
      <c r="U168" s="5">
        <v>9689.58</v>
      </c>
      <c r="V168" s="5">
        <v>8316.82</v>
      </c>
      <c r="W168" s="5">
        <v>7588.65</v>
      </c>
      <c r="X168" s="5">
        <v>2566.87</v>
      </c>
      <c r="Y168" s="4">
        <v>2787411</v>
      </c>
    </row>
    <row r="169" spans="1:25" ht="16.05" customHeight="1" x14ac:dyDescent="0.3">
      <c r="A169" s="7">
        <v>1198</v>
      </c>
      <c r="B169" s="7">
        <v>18</v>
      </c>
      <c r="C169" s="7">
        <v>2022</v>
      </c>
      <c r="D169" s="8" t="s">
        <v>28</v>
      </c>
      <c r="E169" s="9">
        <v>544</v>
      </c>
      <c r="F169" s="10">
        <v>9616821.0700000003</v>
      </c>
      <c r="G169" s="10">
        <v>695296.16</v>
      </c>
      <c r="H169" s="11">
        <v>7.23</v>
      </c>
      <c r="I169" s="11">
        <v>14.79</v>
      </c>
      <c r="J169" s="10">
        <v>5232.62</v>
      </c>
      <c r="K169" s="10">
        <v>15956.99</v>
      </c>
      <c r="L169" s="10">
        <v>9581426.8000000007</v>
      </c>
      <c r="M169" s="10">
        <v>9594048.6199999992</v>
      </c>
      <c r="N169" s="10">
        <v>35394.269999999997</v>
      </c>
      <c r="O169" s="10">
        <v>9591953.7699999996</v>
      </c>
      <c r="P169" s="10">
        <v>9586635.6799999997</v>
      </c>
      <c r="Q169" s="10">
        <v>5318.09</v>
      </c>
      <c r="R169" s="10">
        <v>1422327.84</v>
      </c>
      <c r="S169" s="10">
        <v>-727031.67</v>
      </c>
      <c r="T169" s="10">
        <v>68876.59</v>
      </c>
      <c r="U169" s="10">
        <v>11355.19</v>
      </c>
      <c r="V169" s="10">
        <v>6327.8</v>
      </c>
      <c r="W169" s="10">
        <v>4199.17</v>
      </c>
      <c r="X169" s="10">
        <v>4153.82</v>
      </c>
      <c r="Y169" s="9">
        <v>4855646</v>
      </c>
    </row>
    <row r="170" spans="1:25" ht="16.05" customHeight="1" x14ac:dyDescent="0.3">
      <c r="A170" s="2">
        <v>1268</v>
      </c>
      <c r="B170" s="2">
        <v>19</v>
      </c>
      <c r="C170" s="2">
        <v>2022</v>
      </c>
      <c r="D170" s="3" t="s">
        <v>28</v>
      </c>
      <c r="E170" s="4">
        <v>5896</v>
      </c>
      <c r="F170" s="5">
        <v>229391227.69999999</v>
      </c>
      <c r="G170" s="5">
        <v>52530591.140000001</v>
      </c>
      <c r="H170" s="6">
        <v>22.9</v>
      </c>
      <c r="I170" s="6">
        <v>12.83</v>
      </c>
      <c r="J170" s="5">
        <v>11937.86</v>
      </c>
      <c r="K170" s="5">
        <v>12030.96</v>
      </c>
      <c r="L170" s="5">
        <v>229298149.40000001</v>
      </c>
      <c r="M170" s="5">
        <v>229365627.40000001</v>
      </c>
      <c r="N170" s="5">
        <v>93078.33</v>
      </c>
      <c r="O170" s="5">
        <v>229315607</v>
      </c>
      <c r="P170" s="5">
        <v>229307082</v>
      </c>
      <c r="Q170" s="5">
        <v>8525.0400000000009</v>
      </c>
      <c r="R170" s="5">
        <v>29430894.510000002</v>
      </c>
      <c r="S170" s="5">
        <v>23099696.629999999</v>
      </c>
      <c r="T170" s="5">
        <v>104794.34</v>
      </c>
      <c r="U170" s="5">
        <v>48205.78</v>
      </c>
      <c r="V170" s="5">
        <v>11682.72</v>
      </c>
      <c r="W170" s="5">
        <v>5774.92</v>
      </c>
      <c r="X170" s="5">
        <v>1420.73</v>
      </c>
      <c r="Y170" s="4">
        <v>4734577</v>
      </c>
    </row>
    <row r="171" spans="1:25" ht="16.05" customHeight="1" x14ac:dyDescent="0.3">
      <c r="A171" s="7">
        <v>1338</v>
      </c>
      <c r="B171" s="7">
        <v>20</v>
      </c>
      <c r="C171" s="7">
        <v>2022</v>
      </c>
      <c r="D171" s="8" t="s">
        <v>28</v>
      </c>
      <c r="E171" s="9">
        <v>4824</v>
      </c>
      <c r="F171" s="10">
        <v>295506050.39999998</v>
      </c>
      <c r="G171" s="10">
        <v>70537294.219999999</v>
      </c>
      <c r="H171" s="11">
        <v>23.87</v>
      </c>
      <c r="I171" s="11">
        <v>9.41</v>
      </c>
      <c r="J171" s="10">
        <v>10891.63</v>
      </c>
      <c r="K171" s="10">
        <v>16553.169999999998</v>
      </c>
      <c r="L171" s="10">
        <v>295436320.5</v>
      </c>
      <c r="M171" s="10">
        <v>295483722</v>
      </c>
      <c r="N171" s="10">
        <v>69729.850000000006</v>
      </c>
      <c r="O171" s="10">
        <v>295446432.30000001</v>
      </c>
      <c r="P171" s="10">
        <v>295439639.60000002</v>
      </c>
      <c r="Q171" s="10">
        <v>6792.66</v>
      </c>
      <c r="R171" s="10">
        <v>27807119.34</v>
      </c>
      <c r="S171" s="10">
        <v>42730174.880000003</v>
      </c>
      <c r="T171" s="10">
        <v>93915.41</v>
      </c>
      <c r="U171" s="10">
        <v>20590.98</v>
      </c>
      <c r="V171" s="10">
        <v>8675.5499999999993</v>
      </c>
      <c r="W171" s="10">
        <v>1436.22</v>
      </c>
      <c r="X171" s="10">
        <v>1267.97</v>
      </c>
      <c r="Y171" s="9">
        <v>3328429</v>
      </c>
    </row>
    <row r="172" spans="1:25" ht="16.05" customHeight="1" x14ac:dyDescent="0.3">
      <c r="A172" s="2">
        <v>1408</v>
      </c>
      <c r="B172" s="2">
        <v>21</v>
      </c>
      <c r="C172" s="2">
        <v>2022</v>
      </c>
      <c r="D172" s="3" t="s">
        <v>28</v>
      </c>
      <c r="E172" s="4">
        <v>140</v>
      </c>
      <c r="F172" s="5">
        <v>6279686.5800000001</v>
      </c>
      <c r="G172" s="5">
        <v>324031.83</v>
      </c>
      <c r="H172" s="6">
        <v>5.16</v>
      </c>
      <c r="I172" s="6">
        <v>8.6300000000000008</v>
      </c>
      <c r="J172" s="5">
        <v>6819.63</v>
      </c>
      <c r="K172" s="5">
        <v>13741.39</v>
      </c>
      <c r="L172" s="5">
        <v>6215397.5999999996</v>
      </c>
      <c r="M172" s="5">
        <v>6254408.96</v>
      </c>
      <c r="N172" s="5">
        <v>64288.98</v>
      </c>
      <c r="O172" s="5">
        <v>6233403.46</v>
      </c>
      <c r="P172" s="5">
        <v>6223183.6600000001</v>
      </c>
      <c r="Q172" s="5">
        <v>10219.799999999999</v>
      </c>
      <c r="R172" s="5">
        <v>541936.94999999995</v>
      </c>
      <c r="S172" s="5">
        <v>-217905.12</v>
      </c>
      <c r="T172" s="5">
        <v>113985.12</v>
      </c>
      <c r="U172" s="5">
        <v>27638.49</v>
      </c>
      <c r="V172" s="5">
        <v>11840.99</v>
      </c>
      <c r="W172" s="5">
        <v>6164.87</v>
      </c>
      <c r="X172" s="5">
        <v>4648.1499999999996</v>
      </c>
      <c r="Y172" s="4">
        <v>4239129</v>
      </c>
    </row>
    <row r="173" spans="1:25" ht="16.05" customHeight="1" x14ac:dyDescent="0.3">
      <c r="A173" s="7">
        <v>1478</v>
      </c>
      <c r="B173" s="7">
        <v>22</v>
      </c>
      <c r="C173" s="7">
        <v>2022</v>
      </c>
      <c r="D173" s="8" t="s">
        <v>28</v>
      </c>
      <c r="E173" s="9">
        <v>1658</v>
      </c>
      <c r="F173" s="10">
        <v>76866238.950000003</v>
      </c>
      <c r="G173" s="10">
        <v>16887512.699999999</v>
      </c>
      <c r="H173" s="11">
        <v>21.97</v>
      </c>
      <c r="I173" s="11">
        <v>19.690000000000001</v>
      </c>
      <c r="J173" s="10">
        <v>9555.2000000000007</v>
      </c>
      <c r="K173" s="10">
        <v>9586.68</v>
      </c>
      <c r="L173" s="10">
        <v>76803176.810000002</v>
      </c>
      <c r="M173" s="10">
        <v>76855212.599999994</v>
      </c>
      <c r="N173" s="10">
        <v>63062.14</v>
      </c>
      <c r="O173" s="10">
        <v>76810831.530000001</v>
      </c>
      <c r="P173" s="10">
        <v>76802329.469999999</v>
      </c>
      <c r="Q173" s="10">
        <v>8502.06</v>
      </c>
      <c r="R173" s="10">
        <v>15134962.449999999</v>
      </c>
      <c r="S173" s="10">
        <v>1752550.25</v>
      </c>
      <c r="T173" s="10">
        <v>48515.54</v>
      </c>
      <c r="U173" s="10">
        <v>43314.87</v>
      </c>
      <c r="V173" s="10">
        <v>6397.99</v>
      </c>
      <c r="W173" s="10">
        <v>1256.73</v>
      </c>
      <c r="X173" s="10">
        <v>2170.9899999999998</v>
      </c>
      <c r="Y173" s="9">
        <v>1785707</v>
      </c>
    </row>
    <row r="174" spans="1:25" ht="16.05" customHeight="1" x14ac:dyDescent="0.3">
      <c r="A174" s="2">
        <v>1548</v>
      </c>
      <c r="B174" s="2">
        <v>23</v>
      </c>
      <c r="C174" s="2">
        <v>2022</v>
      </c>
      <c r="D174" s="3" t="s">
        <v>28</v>
      </c>
      <c r="E174" s="4">
        <v>5780</v>
      </c>
      <c r="F174" s="5">
        <v>349166709.19999999</v>
      </c>
      <c r="G174" s="5">
        <v>53492339.850000001</v>
      </c>
      <c r="H174" s="6">
        <v>15.32</v>
      </c>
      <c r="I174" s="6">
        <v>11.76</v>
      </c>
      <c r="J174" s="5">
        <v>10989.34</v>
      </c>
      <c r="K174" s="5">
        <v>3932.45</v>
      </c>
      <c r="L174" s="5">
        <v>349085638.89999998</v>
      </c>
      <c r="M174" s="5">
        <v>349149274.60000002</v>
      </c>
      <c r="N174" s="5">
        <v>81070.27</v>
      </c>
      <c r="O174" s="5">
        <v>349091877</v>
      </c>
      <c r="P174" s="5">
        <v>349078124.80000001</v>
      </c>
      <c r="Q174" s="5">
        <v>13752.16</v>
      </c>
      <c r="R174" s="5">
        <v>41062005</v>
      </c>
      <c r="S174" s="5">
        <v>12430334.85</v>
      </c>
      <c r="T174" s="5">
        <v>28110.23</v>
      </c>
      <c r="U174" s="5">
        <v>15726.16</v>
      </c>
      <c r="V174" s="5">
        <v>4273.1899999999996</v>
      </c>
      <c r="W174" s="5">
        <v>1964.89</v>
      </c>
      <c r="X174" s="5">
        <v>3620.54</v>
      </c>
      <c r="Y174" s="4">
        <v>2585515</v>
      </c>
    </row>
    <row r="175" spans="1:25" ht="16.05" customHeight="1" x14ac:dyDescent="0.3">
      <c r="A175" s="7">
        <v>1618</v>
      </c>
      <c r="B175" s="7">
        <v>24</v>
      </c>
      <c r="C175" s="7">
        <v>2022</v>
      </c>
      <c r="D175" s="8" t="s">
        <v>28</v>
      </c>
      <c r="E175" s="9">
        <v>4590</v>
      </c>
      <c r="F175" s="10">
        <v>151950559.09999999</v>
      </c>
      <c r="G175" s="10">
        <v>8889107.7100000009</v>
      </c>
      <c r="H175" s="11">
        <v>5.85</v>
      </c>
      <c r="I175" s="11">
        <v>14.08</v>
      </c>
      <c r="J175" s="10">
        <v>14704.5</v>
      </c>
      <c r="K175" s="10">
        <v>19854.509999999998</v>
      </c>
      <c r="L175" s="10">
        <v>151890198.59999999</v>
      </c>
      <c r="M175" s="10">
        <v>151939712.30000001</v>
      </c>
      <c r="N175" s="10">
        <v>60360.57</v>
      </c>
      <c r="O175" s="10">
        <v>151904772</v>
      </c>
      <c r="P175" s="10">
        <v>151892118.59999999</v>
      </c>
      <c r="Q175" s="10">
        <v>12653.41</v>
      </c>
      <c r="R175" s="10">
        <v>21394638.719999999</v>
      </c>
      <c r="S175" s="10">
        <v>-12505531.02</v>
      </c>
      <c r="T175" s="10">
        <v>103109.72</v>
      </c>
      <c r="U175" s="10">
        <v>50664.3</v>
      </c>
      <c r="V175" s="10">
        <v>10041.469999999999</v>
      </c>
      <c r="W175" s="10">
        <v>4531.9399999999996</v>
      </c>
      <c r="X175" s="10">
        <v>3975.96</v>
      </c>
      <c r="Y175" s="9">
        <v>2511312</v>
      </c>
    </row>
    <row r="176" spans="1:25" ht="16.05" customHeight="1" x14ac:dyDescent="0.3">
      <c r="A176" s="2">
        <v>1688</v>
      </c>
      <c r="B176" s="2">
        <v>25</v>
      </c>
      <c r="C176" s="2">
        <v>2022</v>
      </c>
      <c r="D176" s="3" t="s">
        <v>28</v>
      </c>
      <c r="E176" s="4">
        <v>545</v>
      </c>
      <c r="F176" s="5">
        <v>31635261.890000001</v>
      </c>
      <c r="G176" s="5">
        <v>8791439.2799999993</v>
      </c>
      <c r="H176" s="6">
        <v>27.79</v>
      </c>
      <c r="I176" s="6">
        <v>14.13</v>
      </c>
      <c r="J176" s="5">
        <v>8425.34</v>
      </c>
      <c r="K176" s="5">
        <v>17435.46</v>
      </c>
      <c r="L176" s="5">
        <v>31552291.050000001</v>
      </c>
      <c r="M176" s="5">
        <v>31613385.550000001</v>
      </c>
      <c r="N176" s="5">
        <v>82970.84</v>
      </c>
      <c r="O176" s="5">
        <v>31568346.260000002</v>
      </c>
      <c r="P176" s="5">
        <v>31556893.239999998</v>
      </c>
      <c r="Q176" s="5">
        <v>11453.02</v>
      </c>
      <c r="R176" s="5">
        <v>4470062.5</v>
      </c>
      <c r="S176" s="5">
        <v>4321376.7699999996</v>
      </c>
      <c r="T176" s="5">
        <v>27218.57</v>
      </c>
      <c r="U176" s="5">
        <v>14824.04</v>
      </c>
      <c r="V176" s="5">
        <v>9472.34</v>
      </c>
      <c r="W176" s="5">
        <v>6582.87</v>
      </c>
      <c r="X176" s="5">
        <v>1776.63</v>
      </c>
      <c r="Y176" s="4">
        <v>2673979</v>
      </c>
    </row>
    <row r="177" spans="1:25" ht="16.05" customHeight="1" x14ac:dyDescent="0.3">
      <c r="A177" s="7">
        <v>1758</v>
      </c>
      <c r="B177" s="7">
        <v>26</v>
      </c>
      <c r="C177" s="7">
        <v>2022</v>
      </c>
      <c r="D177" s="8" t="s">
        <v>28</v>
      </c>
      <c r="E177" s="9">
        <v>3683</v>
      </c>
      <c r="F177" s="10">
        <v>41319121.770000003</v>
      </c>
      <c r="G177" s="10">
        <v>7767994.8899999997</v>
      </c>
      <c r="H177" s="11">
        <v>18.8</v>
      </c>
      <c r="I177" s="11">
        <v>6.44</v>
      </c>
      <c r="J177" s="10">
        <v>9187.83</v>
      </c>
      <c r="K177" s="10">
        <v>13740.2</v>
      </c>
      <c r="L177" s="10">
        <v>41252666.670000002</v>
      </c>
      <c r="M177" s="10">
        <v>41296795.219999999</v>
      </c>
      <c r="N177" s="10">
        <v>66455.100000000006</v>
      </c>
      <c r="O177" s="10">
        <v>41257721.799999997</v>
      </c>
      <c r="P177" s="10">
        <v>41244644.880000003</v>
      </c>
      <c r="Q177" s="10">
        <v>13076.92</v>
      </c>
      <c r="R177" s="10">
        <v>2660951.44</v>
      </c>
      <c r="S177" s="10">
        <v>5107043.45</v>
      </c>
      <c r="T177" s="10">
        <v>89627.09</v>
      </c>
      <c r="U177" s="10">
        <v>34915.839999999997</v>
      </c>
      <c r="V177" s="10">
        <v>1685.2</v>
      </c>
      <c r="W177" s="10">
        <v>3369.93</v>
      </c>
      <c r="X177" s="10">
        <v>1947.73</v>
      </c>
      <c r="Y177" s="9">
        <v>1417235</v>
      </c>
    </row>
    <row r="178" spans="1:25" ht="16.05" customHeight="1" x14ac:dyDescent="0.3">
      <c r="A178" s="2">
        <v>1828</v>
      </c>
      <c r="B178" s="2">
        <v>27</v>
      </c>
      <c r="C178" s="2">
        <v>2022</v>
      </c>
      <c r="D178" s="3" t="s">
        <v>28</v>
      </c>
      <c r="E178" s="4">
        <v>1903</v>
      </c>
      <c r="F178" s="5">
        <v>65688233.68</v>
      </c>
      <c r="G178" s="5">
        <v>9012425.6600000001</v>
      </c>
      <c r="H178" s="6">
        <v>13.72</v>
      </c>
      <c r="I178" s="6">
        <v>18.91</v>
      </c>
      <c r="J178" s="5">
        <v>5827.04</v>
      </c>
      <c r="K178" s="5">
        <v>8808.17</v>
      </c>
      <c r="L178" s="5">
        <v>65640530.890000001</v>
      </c>
      <c r="M178" s="5">
        <v>65666097.039999999</v>
      </c>
      <c r="N178" s="5">
        <v>47702.79</v>
      </c>
      <c r="O178" s="5">
        <v>65654271.420000002</v>
      </c>
      <c r="P178" s="5">
        <v>65650522.100000001</v>
      </c>
      <c r="Q178" s="5">
        <v>3749.32</v>
      </c>
      <c r="R178" s="5">
        <v>12421644.99</v>
      </c>
      <c r="S178" s="5">
        <v>-3409219.33</v>
      </c>
      <c r="T178" s="5">
        <v>117979.98</v>
      </c>
      <c r="U178" s="5">
        <v>14776.54</v>
      </c>
      <c r="V178" s="5">
        <v>9122.51</v>
      </c>
      <c r="W178" s="5">
        <v>4618.0200000000004</v>
      </c>
      <c r="X178" s="5">
        <v>2129.84</v>
      </c>
      <c r="Y178" s="4">
        <v>4741988</v>
      </c>
    </row>
    <row r="179" spans="1:25" ht="16.05" customHeight="1" x14ac:dyDescent="0.3">
      <c r="A179" s="7">
        <v>1898</v>
      </c>
      <c r="B179" s="7">
        <v>28</v>
      </c>
      <c r="C179" s="7">
        <v>2022</v>
      </c>
      <c r="D179" s="8" t="s">
        <v>28</v>
      </c>
      <c r="E179" s="9">
        <v>5901</v>
      </c>
      <c r="F179" s="10">
        <v>125402171.7</v>
      </c>
      <c r="G179" s="10">
        <v>13317710.640000001</v>
      </c>
      <c r="H179" s="11">
        <v>10.62</v>
      </c>
      <c r="I179" s="11">
        <v>15.35</v>
      </c>
      <c r="J179" s="10">
        <v>9928.94</v>
      </c>
      <c r="K179" s="10">
        <v>6885.74</v>
      </c>
      <c r="L179" s="10">
        <v>125391811.2</v>
      </c>
      <c r="M179" s="10">
        <v>125398591.59999999</v>
      </c>
      <c r="N179" s="10">
        <v>10360.57</v>
      </c>
      <c r="O179" s="10">
        <v>125401049.3</v>
      </c>
      <c r="P179" s="10">
        <v>125386123.2</v>
      </c>
      <c r="Q179" s="10">
        <v>14926.09</v>
      </c>
      <c r="R179" s="10">
        <v>19249233.359999999</v>
      </c>
      <c r="S179" s="10">
        <v>-5931522.7199999997</v>
      </c>
      <c r="T179" s="10">
        <v>110270.15</v>
      </c>
      <c r="U179" s="10">
        <v>31403.85</v>
      </c>
      <c r="V179" s="10">
        <v>8736.35</v>
      </c>
      <c r="W179" s="10">
        <v>501.82</v>
      </c>
      <c r="X179" s="10">
        <v>4473.88</v>
      </c>
      <c r="Y179" s="9">
        <v>2587883</v>
      </c>
    </row>
    <row r="180" spans="1:25" ht="16.05" customHeight="1" x14ac:dyDescent="0.3">
      <c r="A180" s="2">
        <v>1968</v>
      </c>
      <c r="B180" s="2">
        <v>29</v>
      </c>
      <c r="C180" s="2">
        <v>2022</v>
      </c>
      <c r="D180" s="3" t="s">
        <v>28</v>
      </c>
      <c r="E180" s="4">
        <v>6843</v>
      </c>
      <c r="F180" s="5">
        <v>436651966.39999998</v>
      </c>
      <c r="G180" s="5">
        <v>107067062.2</v>
      </c>
      <c r="H180" s="6">
        <v>24.52</v>
      </c>
      <c r="I180" s="6">
        <v>19.2</v>
      </c>
      <c r="J180" s="5">
        <v>7646.37</v>
      </c>
      <c r="K180" s="5">
        <v>6574.83</v>
      </c>
      <c r="L180" s="5">
        <v>436641102.30000001</v>
      </c>
      <c r="M180" s="5">
        <v>436628710.5</v>
      </c>
      <c r="N180" s="5">
        <v>10864.16</v>
      </c>
      <c r="O180" s="5">
        <v>436650613.10000002</v>
      </c>
      <c r="P180" s="5">
        <v>436640978.39999998</v>
      </c>
      <c r="Q180" s="5">
        <v>9634.68</v>
      </c>
      <c r="R180" s="5">
        <v>83837177.560000002</v>
      </c>
      <c r="S180" s="5">
        <v>23229884.609999999</v>
      </c>
      <c r="T180" s="5">
        <v>26926.46</v>
      </c>
      <c r="U180" s="5">
        <v>47370.37</v>
      </c>
      <c r="V180" s="5">
        <v>2859.92</v>
      </c>
      <c r="W180" s="5">
        <v>6650.91</v>
      </c>
      <c r="X180" s="5">
        <v>4990.3999999999996</v>
      </c>
      <c r="Y180" s="4">
        <v>1636638</v>
      </c>
    </row>
    <row r="181" spans="1:25" ht="16.05" customHeight="1" x14ac:dyDescent="0.3">
      <c r="A181" s="7">
        <v>2038</v>
      </c>
      <c r="B181" s="7">
        <v>30</v>
      </c>
      <c r="C181" s="7">
        <v>2022</v>
      </c>
      <c r="D181" s="8" t="s">
        <v>28</v>
      </c>
      <c r="E181" s="9">
        <v>5918</v>
      </c>
      <c r="F181" s="10">
        <v>222695202.80000001</v>
      </c>
      <c r="G181" s="10">
        <v>43470103.590000004</v>
      </c>
      <c r="H181" s="11">
        <v>19.52</v>
      </c>
      <c r="I181" s="11">
        <v>6.65</v>
      </c>
      <c r="J181" s="10">
        <v>14462.61</v>
      </c>
      <c r="K181" s="10">
        <v>7817.46</v>
      </c>
      <c r="L181" s="10">
        <v>222663135.90000001</v>
      </c>
      <c r="M181" s="10">
        <v>222689953.30000001</v>
      </c>
      <c r="N181" s="10">
        <v>32066.880000000001</v>
      </c>
      <c r="O181" s="10">
        <v>222680414.40000001</v>
      </c>
      <c r="P181" s="10">
        <v>222668251.30000001</v>
      </c>
      <c r="Q181" s="10">
        <v>12163.07</v>
      </c>
      <c r="R181" s="10">
        <v>14809230.99</v>
      </c>
      <c r="S181" s="10">
        <v>28660872.600000001</v>
      </c>
      <c r="T181" s="10">
        <v>28123.5</v>
      </c>
      <c r="U181" s="10">
        <v>16883.310000000001</v>
      </c>
      <c r="V181" s="10">
        <v>10432.27</v>
      </c>
      <c r="W181" s="10">
        <v>6846.2</v>
      </c>
      <c r="X181" s="10">
        <v>1695.87</v>
      </c>
      <c r="Y181" s="9">
        <v>1739929</v>
      </c>
    </row>
    <row r="182" spans="1:25" ht="16.05" customHeight="1" x14ac:dyDescent="0.3">
      <c r="A182" s="2">
        <v>2108</v>
      </c>
      <c r="B182" s="2">
        <v>31</v>
      </c>
      <c r="C182" s="2">
        <v>2022</v>
      </c>
      <c r="D182" s="3" t="s">
        <v>28</v>
      </c>
      <c r="E182" s="4">
        <v>3246</v>
      </c>
      <c r="F182" s="5">
        <v>211284087.69999999</v>
      </c>
      <c r="G182" s="5">
        <v>23473662.140000001</v>
      </c>
      <c r="H182" s="6">
        <v>11.11</v>
      </c>
      <c r="I182" s="6">
        <v>8.7799999999999994</v>
      </c>
      <c r="J182" s="5">
        <v>12709.97</v>
      </c>
      <c r="K182" s="5">
        <v>13907.6</v>
      </c>
      <c r="L182" s="5">
        <v>211255399.09999999</v>
      </c>
      <c r="M182" s="5">
        <v>211262997.59999999</v>
      </c>
      <c r="N182" s="5">
        <v>28688.54</v>
      </c>
      <c r="O182" s="5">
        <v>211264309.80000001</v>
      </c>
      <c r="P182" s="5">
        <v>211256938.19999999</v>
      </c>
      <c r="Q182" s="5">
        <v>7371.53</v>
      </c>
      <c r="R182" s="5">
        <v>18550742.899999999</v>
      </c>
      <c r="S182" s="5">
        <v>4922919.24</v>
      </c>
      <c r="T182" s="5">
        <v>51627.41</v>
      </c>
      <c r="U182" s="5">
        <v>48438.41</v>
      </c>
      <c r="V182" s="5">
        <v>5403.06</v>
      </c>
      <c r="W182" s="5">
        <v>3507.57</v>
      </c>
      <c r="X182" s="5">
        <v>1787.68</v>
      </c>
      <c r="Y182" s="4">
        <v>1643573</v>
      </c>
    </row>
    <row r="183" spans="1:25" ht="16.05" customHeight="1" x14ac:dyDescent="0.3">
      <c r="A183" s="7">
        <v>2178</v>
      </c>
      <c r="B183" s="7">
        <v>32</v>
      </c>
      <c r="C183" s="7">
        <v>2022</v>
      </c>
      <c r="D183" s="8" t="s">
        <v>28</v>
      </c>
      <c r="E183" s="9">
        <v>2924</v>
      </c>
      <c r="F183" s="10">
        <v>53456636.75</v>
      </c>
      <c r="G183" s="10">
        <v>6099402.25</v>
      </c>
      <c r="H183" s="11">
        <v>11.41</v>
      </c>
      <c r="I183" s="11">
        <v>15.16</v>
      </c>
      <c r="J183" s="10">
        <v>3960.92</v>
      </c>
      <c r="K183" s="10">
        <v>4179.6899999999996</v>
      </c>
      <c r="L183" s="10">
        <v>53407260.219999999</v>
      </c>
      <c r="M183" s="10">
        <v>53449064.450000003</v>
      </c>
      <c r="N183" s="10">
        <v>49376.53</v>
      </c>
      <c r="O183" s="10">
        <v>53425047.130000003</v>
      </c>
      <c r="P183" s="10">
        <v>53411375.920000002</v>
      </c>
      <c r="Q183" s="10">
        <v>13671.21</v>
      </c>
      <c r="R183" s="10">
        <v>8104026.1299999999</v>
      </c>
      <c r="S183" s="10">
        <v>-2004623.88</v>
      </c>
      <c r="T183" s="10">
        <v>60502.9</v>
      </c>
      <c r="U183" s="10">
        <v>6551.37</v>
      </c>
      <c r="V183" s="10">
        <v>11720.02</v>
      </c>
      <c r="W183" s="10">
        <v>6066.89</v>
      </c>
      <c r="X183" s="10">
        <v>3799.25</v>
      </c>
      <c r="Y183" s="9">
        <v>4571105</v>
      </c>
    </row>
    <row r="184" spans="1:25" ht="16.05" customHeight="1" x14ac:dyDescent="0.3">
      <c r="A184" s="2">
        <v>2248</v>
      </c>
      <c r="B184" s="2">
        <v>33</v>
      </c>
      <c r="C184" s="2">
        <v>2022</v>
      </c>
      <c r="D184" s="3" t="s">
        <v>28</v>
      </c>
      <c r="E184" s="4">
        <v>6801</v>
      </c>
      <c r="F184" s="5">
        <v>459212900.80000001</v>
      </c>
      <c r="G184" s="5">
        <v>29848838.550000001</v>
      </c>
      <c r="H184" s="6">
        <v>6.5</v>
      </c>
      <c r="I184" s="6">
        <v>13.18</v>
      </c>
      <c r="J184" s="5">
        <v>3500.77</v>
      </c>
      <c r="K184" s="5">
        <v>4185.08</v>
      </c>
      <c r="L184" s="5">
        <v>459179163.89999998</v>
      </c>
      <c r="M184" s="5">
        <v>459203977.5</v>
      </c>
      <c r="N184" s="5">
        <v>33736.879999999997</v>
      </c>
      <c r="O184" s="5">
        <v>459183346.69999999</v>
      </c>
      <c r="P184" s="5">
        <v>459169131.39999998</v>
      </c>
      <c r="Q184" s="5">
        <v>14215.33</v>
      </c>
      <c r="R184" s="5">
        <v>60524260.329999998</v>
      </c>
      <c r="S184" s="5">
        <v>-30675421.77</v>
      </c>
      <c r="T184" s="5">
        <v>37569.57</v>
      </c>
      <c r="U184" s="5">
        <v>22678.35</v>
      </c>
      <c r="V184" s="5">
        <v>1998.95</v>
      </c>
      <c r="W184" s="5">
        <v>2183.84</v>
      </c>
      <c r="X184" s="5">
        <v>3121.31</v>
      </c>
      <c r="Y184" s="4">
        <v>4563081</v>
      </c>
    </row>
    <row r="185" spans="1:25" ht="16.05" customHeight="1" x14ac:dyDescent="0.3">
      <c r="A185" s="7">
        <v>2318</v>
      </c>
      <c r="B185" s="7">
        <v>34</v>
      </c>
      <c r="C185" s="7">
        <v>2022</v>
      </c>
      <c r="D185" s="8" t="s">
        <v>28</v>
      </c>
      <c r="E185" s="9">
        <v>764</v>
      </c>
      <c r="F185" s="10">
        <v>39974118.710000001</v>
      </c>
      <c r="G185" s="10">
        <v>2574333.2400000002</v>
      </c>
      <c r="H185" s="11">
        <v>6.44</v>
      </c>
      <c r="I185" s="11">
        <v>17.809999999999999</v>
      </c>
      <c r="J185" s="10">
        <v>8047.38</v>
      </c>
      <c r="K185" s="10">
        <v>14049.48</v>
      </c>
      <c r="L185" s="10">
        <v>39946981.229999997</v>
      </c>
      <c r="M185" s="10">
        <v>39966032.799999997</v>
      </c>
      <c r="N185" s="10">
        <v>27137.48</v>
      </c>
      <c r="O185" s="10">
        <v>39956129.270000003</v>
      </c>
      <c r="P185" s="10">
        <v>39950746.280000001</v>
      </c>
      <c r="Q185" s="10">
        <v>5382.99</v>
      </c>
      <c r="R185" s="10">
        <v>7119390.54</v>
      </c>
      <c r="S185" s="10">
        <v>-4545057.3</v>
      </c>
      <c r="T185" s="10">
        <v>103307.46</v>
      </c>
      <c r="U185" s="10">
        <v>53078.44</v>
      </c>
      <c r="V185" s="10">
        <v>7052.47</v>
      </c>
      <c r="W185" s="10">
        <v>2095.5700000000002</v>
      </c>
      <c r="X185" s="10">
        <v>4995.24</v>
      </c>
      <c r="Y185" s="9">
        <v>4568128</v>
      </c>
    </row>
    <row r="186" spans="1:25" ht="16.05" customHeight="1" x14ac:dyDescent="0.3">
      <c r="A186" s="2">
        <v>2388</v>
      </c>
      <c r="B186" s="2">
        <v>35</v>
      </c>
      <c r="C186" s="2">
        <v>2022</v>
      </c>
      <c r="D186" s="3" t="s">
        <v>28</v>
      </c>
      <c r="E186" s="4">
        <v>1440</v>
      </c>
      <c r="F186" s="5">
        <v>93631864.549999997</v>
      </c>
      <c r="G186" s="5">
        <v>7350101.3700000001</v>
      </c>
      <c r="H186" s="6">
        <v>7.85</v>
      </c>
      <c r="I186" s="6">
        <v>17.39</v>
      </c>
      <c r="J186" s="5">
        <v>14221.67</v>
      </c>
      <c r="K186" s="5">
        <v>7664.8</v>
      </c>
      <c r="L186" s="5">
        <v>93550017.530000001</v>
      </c>
      <c r="M186" s="5">
        <v>93620255.829999998</v>
      </c>
      <c r="N186" s="5">
        <v>81847.02</v>
      </c>
      <c r="O186" s="5">
        <v>93561518.730000004</v>
      </c>
      <c r="P186" s="5">
        <v>93558782.129999995</v>
      </c>
      <c r="Q186" s="5">
        <v>2736.6</v>
      </c>
      <c r="R186" s="5">
        <v>16282581.24</v>
      </c>
      <c r="S186" s="5">
        <v>-8932479.8800000008</v>
      </c>
      <c r="T186" s="5">
        <v>16917.72</v>
      </c>
      <c r="U186" s="5">
        <v>35206.06</v>
      </c>
      <c r="V186" s="5">
        <v>9490.3799999999992</v>
      </c>
      <c r="W186" s="5">
        <v>2010.82</v>
      </c>
      <c r="X186" s="5">
        <v>1397.02</v>
      </c>
      <c r="Y186" s="4">
        <v>2422569</v>
      </c>
    </row>
    <row r="187" spans="1:25" ht="16.05" customHeight="1" x14ac:dyDescent="0.3">
      <c r="A187" s="7">
        <v>2458</v>
      </c>
      <c r="B187" s="7">
        <v>36</v>
      </c>
      <c r="C187" s="7">
        <v>2022</v>
      </c>
      <c r="D187" s="8" t="s">
        <v>28</v>
      </c>
      <c r="E187" s="9">
        <v>4727</v>
      </c>
      <c r="F187" s="10">
        <v>113162523.5</v>
      </c>
      <c r="G187" s="10">
        <v>26298970.449999999</v>
      </c>
      <c r="H187" s="11">
        <v>23.24</v>
      </c>
      <c r="I187" s="11">
        <v>16.82</v>
      </c>
      <c r="J187" s="10">
        <v>9128.15</v>
      </c>
      <c r="K187" s="10">
        <v>8742.5300000000007</v>
      </c>
      <c r="L187" s="10">
        <v>113100236.3</v>
      </c>
      <c r="M187" s="10">
        <v>113144281.3</v>
      </c>
      <c r="N187" s="10">
        <v>62287.19</v>
      </c>
      <c r="O187" s="10">
        <v>113109752.40000001</v>
      </c>
      <c r="P187" s="10">
        <v>113096862.40000001</v>
      </c>
      <c r="Q187" s="10">
        <v>12890.01</v>
      </c>
      <c r="R187" s="10">
        <v>19033936.449999999</v>
      </c>
      <c r="S187" s="10">
        <v>7265034.0099999998</v>
      </c>
      <c r="T187" s="10">
        <v>53298.87</v>
      </c>
      <c r="U187" s="10">
        <v>10794.72</v>
      </c>
      <c r="V187" s="10">
        <v>7152.12</v>
      </c>
      <c r="W187" s="10">
        <v>2363.9899999999998</v>
      </c>
      <c r="X187" s="10">
        <v>1178.08</v>
      </c>
      <c r="Y187" s="9">
        <v>2970806</v>
      </c>
    </row>
    <row r="188" spans="1:25" ht="16.05" customHeight="1" x14ac:dyDescent="0.3">
      <c r="A188" s="2">
        <v>2528</v>
      </c>
      <c r="B188" s="2">
        <v>37</v>
      </c>
      <c r="C188" s="2">
        <v>2022</v>
      </c>
      <c r="D188" s="3" t="s">
        <v>28</v>
      </c>
      <c r="E188" s="4">
        <v>6398</v>
      </c>
      <c r="F188" s="5">
        <v>345671849.19999999</v>
      </c>
      <c r="G188" s="5">
        <v>98481909.840000004</v>
      </c>
      <c r="H188" s="6">
        <v>28.49</v>
      </c>
      <c r="I188" s="6">
        <v>13.55</v>
      </c>
      <c r="J188" s="5">
        <v>4805.28</v>
      </c>
      <c r="K188" s="5">
        <v>5939.97</v>
      </c>
      <c r="L188" s="5">
        <v>345604200.10000002</v>
      </c>
      <c r="M188" s="5">
        <v>345652994.30000001</v>
      </c>
      <c r="N188" s="5">
        <v>67649.11</v>
      </c>
      <c r="O188" s="5">
        <v>345613234.30000001</v>
      </c>
      <c r="P188" s="5">
        <v>345600066.80000001</v>
      </c>
      <c r="Q188" s="5">
        <v>13167.54</v>
      </c>
      <c r="R188" s="5">
        <v>46838535.57</v>
      </c>
      <c r="S188" s="5">
        <v>51643374.270000003</v>
      </c>
      <c r="T188" s="5">
        <v>74828.06</v>
      </c>
      <c r="U188" s="5">
        <v>5748.17</v>
      </c>
      <c r="V188" s="5">
        <v>6498.75</v>
      </c>
      <c r="W188" s="5">
        <v>2535.48</v>
      </c>
      <c r="X188" s="5">
        <v>4807.83</v>
      </c>
      <c r="Y188" s="4">
        <v>4119318</v>
      </c>
    </row>
    <row r="189" spans="1:25" ht="16.05" customHeight="1" x14ac:dyDescent="0.3">
      <c r="A189" s="7">
        <v>2598</v>
      </c>
      <c r="B189" s="7">
        <v>38</v>
      </c>
      <c r="C189" s="7">
        <v>2022</v>
      </c>
      <c r="D189" s="8" t="s">
        <v>28</v>
      </c>
      <c r="E189" s="9">
        <v>1384</v>
      </c>
      <c r="F189" s="10">
        <v>48858787.07</v>
      </c>
      <c r="G189" s="10">
        <v>14105531.83</v>
      </c>
      <c r="H189" s="11">
        <v>28.87</v>
      </c>
      <c r="I189" s="11">
        <v>18.88</v>
      </c>
      <c r="J189" s="10">
        <v>8691.57</v>
      </c>
      <c r="K189" s="10">
        <v>5350.49</v>
      </c>
      <c r="L189" s="10">
        <v>48826610.740000002</v>
      </c>
      <c r="M189" s="10">
        <v>48849370.909999996</v>
      </c>
      <c r="N189" s="10">
        <v>32176.33</v>
      </c>
      <c r="O189" s="10">
        <v>48846221.710000001</v>
      </c>
      <c r="P189" s="10">
        <v>48839903.020000003</v>
      </c>
      <c r="Q189" s="10">
        <v>6318.69</v>
      </c>
      <c r="R189" s="10">
        <v>9224539</v>
      </c>
      <c r="S189" s="10">
        <v>4880992.83</v>
      </c>
      <c r="T189" s="10">
        <v>45485.22</v>
      </c>
      <c r="U189" s="10">
        <v>44934.3</v>
      </c>
      <c r="V189" s="10">
        <v>11787.42</v>
      </c>
      <c r="W189" s="10">
        <v>7823.55</v>
      </c>
      <c r="X189" s="10">
        <v>4471.34</v>
      </c>
      <c r="Y189" s="9">
        <v>4700186</v>
      </c>
    </row>
    <row r="190" spans="1:25" ht="16.05" customHeight="1" x14ac:dyDescent="0.3">
      <c r="A190" s="2">
        <v>2668</v>
      </c>
      <c r="B190" s="2">
        <v>39</v>
      </c>
      <c r="C190" s="2">
        <v>2022</v>
      </c>
      <c r="D190" s="3" t="s">
        <v>28</v>
      </c>
      <c r="E190" s="4">
        <v>5169</v>
      </c>
      <c r="F190" s="5">
        <v>146564061.5</v>
      </c>
      <c r="G190" s="5">
        <v>12267411.949999999</v>
      </c>
      <c r="H190" s="6">
        <v>8.3699999999999992</v>
      </c>
      <c r="I190" s="6">
        <v>12.98</v>
      </c>
      <c r="J190" s="5">
        <v>14093.33</v>
      </c>
      <c r="K190" s="5">
        <v>4973.5</v>
      </c>
      <c r="L190" s="5">
        <v>146536910</v>
      </c>
      <c r="M190" s="5">
        <v>146553731.40000001</v>
      </c>
      <c r="N190" s="5">
        <v>27151.49</v>
      </c>
      <c r="O190" s="5">
        <v>146543559.90000001</v>
      </c>
      <c r="P190" s="5">
        <v>146530354</v>
      </c>
      <c r="Q190" s="5">
        <v>13205.9</v>
      </c>
      <c r="R190" s="5">
        <v>19024015.18</v>
      </c>
      <c r="S190" s="5">
        <v>-6756603.2400000002</v>
      </c>
      <c r="T190" s="5">
        <v>111747.05</v>
      </c>
      <c r="U190" s="5">
        <v>55450.9</v>
      </c>
      <c r="V190" s="5">
        <v>5440.15</v>
      </c>
      <c r="W190" s="5">
        <v>1209.77</v>
      </c>
      <c r="X190" s="5">
        <v>1845.37</v>
      </c>
      <c r="Y190" s="4">
        <v>3448496</v>
      </c>
    </row>
    <row r="191" spans="1:25" ht="16.05" customHeight="1" x14ac:dyDescent="0.3">
      <c r="A191" s="7">
        <v>2738</v>
      </c>
      <c r="B191" s="7">
        <v>40</v>
      </c>
      <c r="C191" s="7">
        <v>2022</v>
      </c>
      <c r="D191" s="8" t="s">
        <v>28</v>
      </c>
      <c r="E191" s="9">
        <v>4908</v>
      </c>
      <c r="F191" s="10">
        <v>207416399.30000001</v>
      </c>
      <c r="G191" s="10">
        <v>23230636.719999999</v>
      </c>
      <c r="H191" s="11">
        <v>11.2</v>
      </c>
      <c r="I191" s="11">
        <v>17.32</v>
      </c>
      <c r="J191" s="10">
        <v>4974.03</v>
      </c>
      <c r="K191" s="10">
        <v>4491.32</v>
      </c>
      <c r="L191" s="10">
        <v>207402268.5</v>
      </c>
      <c r="M191" s="10">
        <v>207393745.80000001</v>
      </c>
      <c r="N191" s="10">
        <v>14130.86</v>
      </c>
      <c r="O191" s="10">
        <v>207414648</v>
      </c>
      <c r="P191" s="10">
        <v>207401233.19999999</v>
      </c>
      <c r="Q191" s="10">
        <v>13414.77</v>
      </c>
      <c r="R191" s="10">
        <v>35924520.359999999</v>
      </c>
      <c r="S191" s="10">
        <v>-12693883.640000001</v>
      </c>
      <c r="T191" s="10">
        <v>118961.82</v>
      </c>
      <c r="U191" s="10">
        <v>50815.75</v>
      </c>
      <c r="V191" s="10">
        <v>6343.54</v>
      </c>
      <c r="W191" s="10">
        <v>6036.01</v>
      </c>
      <c r="X191" s="10">
        <v>2842.8</v>
      </c>
      <c r="Y191" s="9">
        <v>4341512</v>
      </c>
    </row>
    <row r="192" spans="1:25" ht="16.05" customHeight="1" x14ac:dyDescent="0.3">
      <c r="A192" s="2">
        <v>2808</v>
      </c>
      <c r="B192" s="2">
        <v>41</v>
      </c>
      <c r="C192" s="2">
        <v>2022</v>
      </c>
      <c r="D192" s="3" t="s">
        <v>28</v>
      </c>
      <c r="E192" s="4">
        <v>6265</v>
      </c>
      <c r="F192" s="5">
        <v>63124297.119999997</v>
      </c>
      <c r="G192" s="5">
        <v>12915231.189999999</v>
      </c>
      <c r="H192" s="6">
        <v>20.46</v>
      </c>
      <c r="I192" s="6">
        <v>15.86</v>
      </c>
      <c r="J192" s="5">
        <v>3136.78</v>
      </c>
      <c r="K192" s="5">
        <v>4370.1099999999997</v>
      </c>
      <c r="L192" s="5">
        <v>63104958.439999998</v>
      </c>
      <c r="M192" s="5">
        <v>63114159.200000003</v>
      </c>
      <c r="N192" s="5">
        <v>19338.68</v>
      </c>
      <c r="O192" s="5">
        <v>63114733.649999999</v>
      </c>
      <c r="P192" s="5">
        <v>63103250.57</v>
      </c>
      <c r="Q192" s="5">
        <v>11483.08</v>
      </c>
      <c r="R192" s="5">
        <v>10011513.52</v>
      </c>
      <c r="S192" s="5">
        <v>2903717.67</v>
      </c>
      <c r="T192" s="5">
        <v>86161.82</v>
      </c>
      <c r="U192" s="5">
        <v>45918.66</v>
      </c>
      <c r="V192" s="5">
        <v>1957.32</v>
      </c>
      <c r="W192" s="5">
        <v>7817.89</v>
      </c>
      <c r="X192" s="5">
        <v>2933.95</v>
      </c>
      <c r="Y192" s="4">
        <v>1541957</v>
      </c>
    </row>
    <row r="193" spans="1:25" ht="16.05" customHeight="1" x14ac:dyDescent="0.3">
      <c r="A193" s="7">
        <v>2878</v>
      </c>
      <c r="B193" s="7">
        <v>42</v>
      </c>
      <c r="C193" s="7">
        <v>2022</v>
      </c>
      <c r="D193" s="8" t="s">
        <v>28</v>
      </c>
      <c r="E193" s="9">
        <v>5584</v>
      </c>
      <c r="F193" s="10">
        <v>164203970.80000001</v>
      </c>
      <c r="G193" s="10">
        <v>32775112.57</v>
      </c>
      <c r="H193" s="11">
        <v>19.96</v>
      </c>
      <c r="I193" s="11">
        <v>8.8699999999999992</v>
      </c>
      <c r="J193" s="10">
        <v>5831.37</v>
      </c>
      <c r="K193" s="10">
        <v>14193.55</v>
      </c>
      <c r="L193" s="10">
        <v>164105217.30000001</v>
      </c>
      <c r="M193" s="10">
        <v>164190187.90000001</v>
      </c>
      <c r="N193" s="10">
        <v>98753.49</v>
      </c>
      <c r="O193" s="10">
        <v>164112247.5</v>
      </c>
      <c r="P193" s="10">
        <v>164098268.09999999</v>
      </c>
      <c r="Q193" s="10">
        <v>13979.38</v>
      </c>
      <c r="R193" s="10">
        <v>14564892.210000001</v>
      </c>
      <c r="S193" s="10">
        <v>18210220.359999999</v>
      </c>
      <c r="T193" s="10">
        <v>62862.46</v>
      </c>
      <c r="U193" s="10">
        <v>39067.86</v>
      </c>
      <c r="V193" s="10">
        <v>4044.17</v>
      </c>
      <c r="W193" s="10">
        <v>2986.02</v>
      </c>
      <c r="X193" s="10">
        <v>2977.68</v>
      </c>
      <c r="Y193" s="9">
        <v>2227146</v>
      </c>
    </row>
    <row r="194" spans="1:25" ht="16.05" customHeight="1" x14ac:dyDescent="0.3">
      <c r="A194" s="2">
        <v>2948</v>
      </c>
      <c r="B194" s="2">
        <v>43</v>
      </c>
      <c r="C194" s="2">
        <v>2022</v>
      </c>
      <c r="D194" s="3" t="s">
        <v>28</v>
      </c>
      <c r="E194" s="4">
        <v>2849</v>
      </c>
      <c r="F194" s="5">
        <v>143528459.30000001</v>
      </c>
      <c r="G194" s="5">
        <v>11439218.210000001</v>
      </c>
      <c r="H194" s="6">
        <v>7.97</v>
      </c>
      <c r="I194" s="6">
        <v>6.12</v>
      </c>
      <c r="J194" s="5">
        <v>13107.55</v>
      </c>
      <c r="K194" s="5">
        <v>8687.9599999999991</v>
      </c>
      <c r="L194" s="5">
        <v>143432297.30000001</v>
      </c>
      <c r="M194" s="5">
        <v>143522864.40000001</v>
      </c>
      <c r="N194" s="5">
        <v>96162.06</v>
      </c>
      <c r="O194" s="5">
        <v>143450296.5</v>
      </c>
      <c r="P194" s="5">
        <v>143440177</v>
      </c>
      <c r="Q194" s="5">
        <v>10119.469999999999</v>
      </c>
      <c r="R194" s="5">
        <v>8783941.7100000009</v>
      </c>
      <c r="S194" s="5">
        <v>2655276.5</v>
      </c>
      <c r="T194" s="5">
        <v>86871.06</v>
      </c>
      <c r="U194" s="5">
        <v>55390.99</v>
      </c>
      <c r="V194" s="5">
        <v>11791.53</v>
      </c>
      <c r="W194" s="5">
        <v>6207.71</v>
      </c>
      <c r="X194" s="5">
        <v>3833.68</v>
      </c>
      <c r="Y194" s="4">
        <v>3564955</v>
      </c>
    </row>
    <row r="195" spans="1:25" ht="16.05" customHeight="1" x14ac:dyDescent="0.3">
      <c r="A195" s="7">
        <v>3018</v>
      </c>
      <c r="B195" s="7">
        <v>44</v>
      </c>
      <c r="C195" s="7">
        <v>2022</v>
      </c>
      <c r="D195" s="8" t="s">
        <v>28</v>
      </c>
      <c r="E195" s="9">
        <v>2614</v>
      </c>
      <c r="F195" s="10">
        <v>119951254.09999999</v>
      </c>
      <c r="G195" s="10">
        <v>10855588.49</v>
      </c>
      <c r="H195" s="11">
        <v>9.0500000000000007</v>
      </c>
      <c r="I195" s="11">
        <v>5.83</v>
      </c>
      <c r="J195" s="10">
        <v>1753.42</v>
      </c>
      <c r="K195" s="10">
        <v>14575.42</v>
      </c>
      <c r="L195" s="10">
        <v>119905849.40000001</v>
      </c>
      <c r="M195" s="10">
        <v>119942876.8</v>
      </c>
      <c r="N195" s="10">
        <v>45404.67</v>
      </c>
      <c r="O195" s="10">
        <v>119915299.5</v>
      </c>
      <c r="P195" s="10">
        <v>119901736.8</v>
      </c>
      <c r="Q195" s="10">
        <v>13562.73</v>
      </c>
      <c r="R195" s="10">
        <v>6993158.1100000003</v>
      </c>
      <c r="S195" s="10">
        <v>3862430.38</v>
      </c>
      <c r="T195" s="10">
        <v>46220.51</v>
      </c>
      <c r="U195" s="10">
        <v>56897.59</v>
      </c>
      <c r="V195" s="10">
        <v>5680.17</v>
      </c>
      <c r="W195" s="10">
        <v>3769.94</v>
      </c>
      <c r="X195" s="10">
        <v>1172.6199999999999</v>
      </c>
      <c r="Y195" s="9">
        <v>1774353</v>
      </c>
    </row>
    <row r="196" spans="1:25" ht="16.05" customHeight="1" x14ac:dyDescent="0.3">
      <c r="A196" s="2">
        <v>3088</v>
      </c>
      <c r="B196" s="2">
        <v>45</v>
      </c>
      <c r="C196" s="2">
        <v>2022</v>
      </c>
      <c r="D196" s="3" t="s">
        <v>28</v>
      </c>
      <c r="E196" s="4">
        <v>6918</v>
      </c>
      <c r="F196" s="5">
        <v>443697343.69999999</v>
      </c>
      <c r="G196" s="5">
        <v>97613415.609999999</v>
      </c>
      <c r="H196" s="6">
        <v>22</v>
      </c>
      <c r="I196" s="6">
        <v>16.649999999999999</v>
      </c>
      <c r="J196" s="5">
        <v>6688.25</v>
      </c>
      <c r="K196" s="5">
        <v>4701.58</v>
      </c>
      <c r="L196" s="5">
        <v>443657618.5</v>
      </c>
      <c r="M196" s="5">
        <v>443685160.19999999</v>
      </c>
      <c r="N196" s="5">
        <v>39725.160000000003</v>
      </c>
      <c r="O196" s="5">
        <v>443666680.5</v>
      </c>
      <c r="P196" s="5">
        <v>443655385.89999998</v>
      </c>
      <c r="Q196" s="5">
        <v>11294.57</v>
      </c>
      <c r="R196" s="5">
        <v>73875607.719999999</v>
      </c>
      <c r="S196" s="5">
        <v>23737807.890000001</v>
      </c>
      <c r="T196" s="5">
        <v>52908.34</v>
      </c>
      <c r="U196" s="5">
        <v>33629.300000000003</v>
      </c>
      <c r="V196" s="5">
        <v>4771.87</v>
      </c>
      <c r="W196" s="5">
        <v>4290.1400000000003</v>
      </c>
      <c r="X196" s="5">
        <v>4485.12</v>
      </c>
      <c r="Y196" s="4">
        <v>2116421</v>
      </c>
    </row>
    <row r="197" spans="1:25" ht="16.05" customHeight="1" x14ac:dyDescent="0.3">
      <c r="A197" s="7">
        <v>3158</v>
      </c>
      <c r="B197" s="7">
        <v>46</v>
      </c>
      <c r="C197" s="7">
        <v>2022</v>
      </c>
      <c r="D197" s="8" t="s">
        <v>28</v>
      </c>
      <c r="E197" s="9">
        <v>6956</v>
      </c>
      <c r="F197" s="10">
        <v>192371052.30000001</v>
      </c>
      <c r="G197" s="10">
        <v>29221162.850000001</v>
      </c>
      <c r="H197" s="11">
        <v>15.19</v>
      </c>
      <c r="I197" s="11">
        <v>8.19</v>
      </c>
      <c r="J197" s="10">
        <v>1745</v>
      </c>
      <c r="K197" s="10">
        <v>12218.34</v>
      </c>
      <c r="L197" s="10">
        <v>192274187.09999999</v>
      </c>
      <c r="M197" s="10">
        <v>192348591.90000001</v>
      </c>
      <c r="N197" s="10">
        <v>96865.279999999999</v>
      </c>
      <c r="O197" s="10">
        <v>192290498.90000001</v>
      </c>
      <c r="P197" s="10">
        <v>192289164</v>
      </c>
      <c r="Q197" s="10">
        <v>1334.88</v>
      </c>
      <c r="R197" s="10">
        <v>15755189.189999999</v>
      </c>
      <c r="S197" s="10">
        <v>13465973.66</v>
      </c>
      <c r="T197" s="10">
        <v>60110.69</v>
      </c>
      <c r="U197" s="10">
        <v>16463.900000000001</v>
      </c>
      <c r="V197" s="10">
        <v>10026.36</v>
      </c>
      <c r="W197" s="10">
        <v>6285.44</v>
      </c>
      <c r="X197" s="10">
        <v>3679.72</v>
      </c>
      <c r="Y197" s="9">
        <v>1670665</v>
      </c>
    </row>
    <row r="198" spans="1:25" ht="16.05" customHeight="1" x14ac:dyDescent="0.3">
      <c r="A198" s="2">
        <v>3228</v>
      </c>
      <c r="B198" s="2">
        <v>47</v>
      </c>
      <c r="C198" s="2">
        <v>2022</v>
      </c>
      <c r="D198" s="3" t="s">
        <v>28</v>
      </c>
      <c r="E198" s="4">
        <v>281</v>
      </c>
      <c r="F198" s="5">
        <v>10402648.369999999</v>
      </c>
      <c r="G198" s="5">
        <v>1557276.46</v>
      </c>
      <c r="H198" s="6">
        <v>14.97</v>
      </c>
      <c r="I198" s="6">
        <v>11.61</v>
      </c>
      <c r="J198" s="5">
        <v>3166.9</v>
      </c>
      <c r="K198" s="5">
        <v>2625.99</v>
      </c>
      <c r="L198" s="5">
        <v>10314163.92</v>
      </c>
      <c r="M198" s="5">
        <v>10383480.77</v>
      </c>
      <c r="N198" s="5">
        <v>88484.45</v>
      </c>
      <c r="O198" s="5">
        <v>10321679.310000001</v>
      </c>
      <c r="P198" s="5">
        <v>10306751.640000001</v>
      </c>
      <c r="Q198" s="5">
        <v>14927.67</v>
      </c>
      <c r="R198" s="5">
        <v>1207747.48</v>
      </c>
      <c r="S198" s="5">
        <v>349528.99</v>
      </c>
      <c r="T198" s="5">
        <v>48325.14</v>
      </c>
      <c r="U198" s="5">
        <v>17446.73</v>
      </c>
      <c r="V198" s="5">
        <v>1321.4</v>
      </c>
      <c r="W198" s="5">
        <v>6193.99</v>
      </c>
      <c r="X198" s="5">
        <v>3807.16</v>
      </c>
      <c r="Y198" s="4">
        <v>3717670</v>
      </c>
    </row>
    <row r="199" spans="1:25" ht="16.05" customHeight="1" x14ac:dyDescent="0.3">
      <c r="A199" s="7">
        <v>3298</v>
      </c>
      <c r="B199" s="7">
        <v>48</v>
      </c>
      <c r="C199" s="7">
        <v>2022</v>
      </c>
      <c r="D199" s="8" t="s">
        <v>28</v>
      </c>
      <c r="E199" s="9">
        <v>4150</v>
      </c>
      <c r="F199" s="10">
        <v>33563607.479999997</v>
      </c>
      <c r="G199" s="10">
        <v>3376498.91</v>
      </c>
      <c r="H199" s="11">
        <v>10.06</v>
      </c>
      <c r="I199" s="11">
        <v>7.43</v>
      </c>
      <c r="J199" s="10">
        <v>10816.13</v>
      </c>
      <c r="K199" s="10">
        <v>18875.59</v>
      </c>
      <c r="L199" s="10">
        <v>33476560.350000001</v>
      </c>
      <c r="M199" s="10">
        <v>33541705.109999999</v>
      </c>
      <c r="N199" s="10">
        <v>87047.13</v>
      </c>
      <c r="O199" s="10">
        <v>33484261.27</v>
      </c>
      <c r="P199" s="10">
        <v>33471632.129999999</v>
      </c>
      <c r="Q199" s="10">
        <v>12629.14</v>
      </c>
      <c r="R199" s="10">
        <v>2493776.04</v>
      </c>
      <c r="S199" s="10">
        <v>882722.88</v>
      </c>
      <c r="T199" s="10">
        <v>109778.74</v>
      </c>
      <c r="U199" s="10">
        <v>14719.33</v>
      </c>
      <c r="V199" s="10">
        <v>3906.83</v>
      </c>
      <c r="W199" s="10">
        <v>3794.09</v>
      </c>
      <c r="X199" s="10">
        <v>1927.62</v>
      </c>
      <c r="Y199" s="9">
        <v>3976074</v>
      </c>
    </row>
    <row r="200" spans="1:25" ht="16.05" customHeight="1" x14ac:dyDescent="0.3">
      <c r="A200" s="2">
        <v>3368</v>
      </c>
      <c r="B200" s="2">
        <v>49</v>
      </c>
      <c r="C200" s="2">
        <v>2022</v>
      </c>
      <c r="D200" s="3" t="s">
        <v>28</v>
      </c>
      <c r="E200" s="4">
        <v>2807</v>
      </c>
      <c r="F200" s="5">
        <v>37287252.159999996</v>
      </c>
      <c r="G200" s="5">
        <v>6674418.1399999997</v>
      </c>
      <c r="H200" s="6">
        <v>17.899999999999999</v>
      </c>
      <c r="I200" s="6">
        <v>14.18</v>
      </c>
      <c r="J200" s="5">
        <v>3155.74</v>
      </c>
      <c r="K200" s="5">
        <v>9126.0499999999993</v>
      </c>
      <c r="L200" s="5">
        <v>37211114.880000003</v>
      </c>
      <c r="M200" s="5">
        <v>37280331.359999999</v>
      </c>
      <c r="N200" s="5">
        <v>76137.279999999999</v>
      </c>
      <c r="O200" s="5">
        <v>37222848.810000002</v>
      </c>
      <c r="P200" s="5">
        <v>37214634.630000003</v>
      </c>
      <c r="Q200" s="5">
        <v>8214.18</v>
      </c>
      <c r="R200" s="5">
        <v>5287332.3600000003</v>
      </c>
      <c r="S200" s="5">
        <v>1387085.78</v>
      </c>
      <c r="T200" s="5">
        <v>38507.11</v>
      </c>
      <c r="U200" s="5">
        <v>42330.63</v>
      </c>
      <c r="V200" s="5">
        <v>4908.6000000000004</v>
      </c>
      <c r="W200" s="5">
        <v>6825.33</v>
      </c>
      <c r="X200" s="5">
        <v>1858.76</v>
      </c>
      <c r="Y200" s="4">
        <v>2801566</v>
      </c>
    </row>
    <row r="201" spans="1:25" ht="16.05" customHeight="1" x14ac:dyDescent="0.3">
      <c r="A201" s="7">
        <v>3438</v>
      </c>
      <c r="B201" s="7">
        <v>50</v>
      </c>
      <c r="C201" s="7">
        <v>2022</v>
      </c>
      <c r="D201" s="8" t="s">
        <v>28</v>
      </c>
      <c r="E201" s="9">
        <v>5165</v>
      </c>
      <c r="F201" s="10">
        <v>237797401.09999999</v>
      </c>
      <c r="G201" s="10">
        <v>63349227.649999999</v>
      </c>
      <c r="H201" s="11">
        <v>26.64</v>
      </c>
      <c r="I201" s="11">
        <v>18.79</v>
      </c>
      <c r="J201" s="10">
        <v>8957.84</v>
      </c>
      <c r="K201" s="10">
        <v>10062.4</v>
      </c>
      <c r="L201" s="10">
        <v>237726131.80000001</v>
      </c>
      <c r="M201" s="10">
        <v>237778504.59999999</v>
      </c>
      <c r="N201" s="10">
        <v>71269.27</v>
      </c>
      <c r="O201" s="10">
        <v>237743469.40000001</v>
      </c>
      <c r="P201" s="10">
        <v>237741149.30000001</v>
      </c>
      <c r="Q201" s="10">
        <v>2320.06</v>
      </c>
      <c r="R201" s="10">
        <v>44682131.659999996</v>
      </c>
      <c r="S201" s="10">
        <v>18667095.989999998</v>
      </c>
      <c r="T201" s="10">
        <v>106753.38</v>
      </c>
      <c r="U201" s="10">
        <v>55549.9</v>
      </c>
      <c r="V201" s="10">
        <v>10647.21</v>
      </c>
      <c r="W201" s="10">
        <v>6690.38</v>
      </c>
      <c r="X201" s="10">
        <v>4346.96</v>
      </c>
      <c r="Y201" s="9">
        <v>4469198</v>
      </c>
    </row>
    <row r="202" spans="1:25" ht="16.05" customHeight="1" x14ac:dyDescent="0.3">
      <c r="A202" s="2">
        <v>68</v>
      </c>
      <c r="B202" s="2">
        <v>1</v>
      </c>
      <c r="C202" s="2">
        <v>2022</v>
      </c>
      <c r="D202" s="3" t="s">
        <v>29</v>
      </c>
      <c r="E202" s="4">
        <v>5631</v>
      </c>
      <c r="F202" s="5">
        <v>194512273</v>
      </c>
      <c r="G202" s="5">
        <v>36801722.039999999</v>
      </c>
      <c r="H202" s="6">
        <v>18.920000000000002</v>
      </c>
      <c r="I202" s="6">
        <v>14.58</v>
      </c>
      <c r="J202" s="5">
        <v>5867.02</v>
      </c>
      <c r="K202" s="5">
        <v>19893.73</v>
      </c>
      <c r="L202" s="5">
        <v>194498405.40000001</v>
      </c>
      <c r="M202" s="5">
        <v>194494895.59999999</v>
      </c>
      <c r="N202" s="5">
        <v>13867.57</v>
      </c>
      <c r="O202" s="5">
        <v>194512957.19999999</v>
      </c>
      <c r="P202" s="5">
        <v>194509754.80000001</v>
      </c>
      <c r="Q202" s="5">
        <v>3202.35</v>
      </c>
      <c r="R202" s="5">
        <v>28359889.399999999</v>
      </c>
      <c r="S202" s="5">
        <v>8441832.6500000004</v>
      </c>
      <c r="T202" s="5">
        <v>26596.27</v>
      </c>
      <c r="U202" s="5">
        <v>26204.54</v>
      </c>
      <c r="V202" s="5">
        <v>7039.1</v>
      </c>
      <c r="W202" s="5">
        <v>7512.67</v>
      </c>
      <c r="X202" s="5">
        <v>4000.64</v>
      </c>
      <c r="Y202" s="4">
        <v>1445095</v>
      </c>
    </row>
    <row r="203" spans="1:25" ht="16.05" customHeight="1" x14ac:dyDescent="0.3">
      <c r="A203" s="7">
        <v>138</v>
      </c>
      <c r="B203" s="7">
        <v>2</v>
      </c>
      <c r="C203" s="7">
        <v>2022</v>
      </c>
      <c r="D203" s="8" t="s">
        <v>29</v>
      </c>
      <c r="E203" s="9">
        <v>1506</v>
      </c>
      <c r="F203" s="10">
        <v>85409272.450000003</v>
      </c>
      <c r="G203" s="10">
        <v>15749469.84</v>
      </c>
      <c r="H203" s="11">
        <v>18.440000000000001</v>
      </c>
      <c r="I203" s="11">
        <v>16.62</v>
      </c>
      <c r="J203" s="10">
        <v>6216.49</v>
      </c>
      <c r="K203" s="10">
        <v>16350.39</v>
      </c>
      <c r="L203" s="10">
        <v>85321697.319999993</v>
      </c>
      <c r="M203" s="10">
        <v>85389836.480000004</v>
      </c>
      <c r="N203" s="10">
        <v>87575.13</v>
      </c>
      <c r="O203" s="10">
        <v>85334838.780000001</v>
      </c>
      <c r="P203" s="10">
        <v>85321117.290000007</v>
      </c>
      <c r="Q203" s="10">
        <v>13721.49</v>
      </c>
      <c r="R203" s="10">
        <v>14195021.08</v>
      </c>
      <c r="S203" s="10">
        <v>1554448.76</v>
      </c>
      <c r="T203" s="10">
        <v>100871.93</v>
      </c>
      <c r="U203" s="10">
        <v>48659.040000000001</v>
      </c>
      <c r="V203" s="10">
        <v>7360.52</v>
      </c>
      <c r="W203" s="10">
        <v>5780.94</v>
      </c>
      <c r="X203" s="10">
        <v>3279.16</v>
      </c>
      <c r="Y203" s="9">
        <v>3080632</v>
      </c>
    </row>
    <row r="204" spans="1:25" ht="16.05" customHeight="1" x14ac:dyDescent="0.3">
      <c r="A204" s="2">
        <v>208</v>
      </c>
      <c r="B204" s="2">
        <v>3</v>
      </c>
      <c r="C204" s="2">
        <v>2022</v>
      </c>
      <c r="D204" s="3" t="s">
        <v>29</v>
      </c>
      <c r="E204" s="4">
        <v>3765</v>
      </c>
      <c r="F204" s="5">
        <v>171093951.80000001</v>
      </c>
      <c r="G204" s="5">
        <v>41045439.030000001</v>
      </c>
      <c r="H204" s="6">
        <v>23.99</v>
      </c>
      <c r="I204" s="6">
        <v>9.64</v>
      </c>
      <c r="J204" s="5">
        <v>10177.59</v>
      </c>
      <c r="K204" s="5">
        <v>13028.87</v>
      </c>
      <c r="L204" s="5">
        <v>171017820.59999999</v>
      </c>
      <c r="M204" s="5">
        <v>171069286.5</v>
      </c>
      <c r="N204" s="5">
        <v>76131.13</v>
      </c>
      <c r="O204" s="5">
        <v>171035576.30000001</v>
      </c>
      <c r="P204" s="5">
        <v>171023419.90000001</v>
      </c>
      <c r="Q204" s="5">
        <v>12156.41</v>
      </c>
      <c r="R204" s="5">
        <v>16493456.949999999</v>
      </c>
      <c r="S204" s="5">
        <v>24551982.079999998</v>
      </c>
      <c r="T204" s="5">
        <v>69284.259999999995</v>
      </c>
      <c r="U204" s="5">
        <v>35127.910000000003</v>
      </c>
      <c r="V204" s="5">
        <v>11512.34</v>
      </c>
      <c r="W204" s="5">
        <v>6243.33</v>
      </c>
      <c r="X204" s="5">
        <v>4446.29</v>
      </c>
      <c r="Y204" s="4">
        <v>4333825</v>
      </c>
    </row>
    <row r="205" spans="1:25" ht="16.05" customHeight="1" x14ac:dyDescent="0.3">
      <c r="A205" s="7">
        <v>278</v>
      </c>
      <c r="B205" s="7">
        <v>4</v>
      </c>
      <c r="C205" s="7">
        <v>2022</v>
      </c>
      <c r="D205" s="8" t="s">
        <v>29</v>
      </c>
      <c r="E205" s="9">
        <v>4449</v>
      </c>
      <c r="F205" s="10">
        <v>216607671</v>
      </c>
      <c r="G205" s="10">
        <v>21530802.5</v>
      </c>
      <c r="H205" s="11">
        <v>9.94</v>
      </c>
      <c r="I205" s="11">
        <v>19.149999999999999</v>
      </c>
      <c r="J205" s="10">
        <v>6054.8</v>
      </c>
      <c r="K205" s="10">
        <v>19580.77</v>
      </c>
      <c r="L205" s="10">
        <v>216559998.59999999</v>
      </c>
      <c r="M205" s="10">
        <v>216583038.5</v>
      </c>
      <c r="N205" s="10">
        <v>47672.45</v>
      </c>
      <c r="O205" s="10">
        <v>216570535.90000001</v>
      </c>
      <c r="P205" s="10">
        <v>216566946.30000001</v>
      </c>
      <c r="Q205" s="10">
        <v>3589.58</v>
      </c>
      <c r="R205" s="10">
        <v>41480369</v>
      </c>
      <c r="S205" s="10">
        <v>-19949566.5</v>
      </c>
      <c r="T205" s="10">
        <v>69666.06</v>
      </c>
      <c r="U205" s="10">
        <v>35581.22</v>
      </c>
      <c r="V205" s="10">
        <v>4500.67</v>
      </c>
      <c r="W205" s="10">
        <v>6036.65</v>
      </c>
      <c r="X205" s="10">
        <v>3518.74</v>
      </c>
      <c r="Y205" s="9">
        <v>4193927</v>
      </c>
    </row>
    <row r="206" spans="1:25" ht="16.05" customHeight="1" x14ac:dyDescent="0.3">
      <c r="A206" s="2">
        <v>348</v>
      </c>
      <c r="B206" s="2">
        <v>5</v>
      </c>
      <c r="C206" s="2">
        <v>2022</v>
      </c>
      <c r="D206" s="3" t="s">
        <v>29</v>
      </c>
      <c r="E206" s="4">
        <v>6717</v>
      </c>
      <c r="F206" s="5">
        <v>186343553.90000001</v>
      </c>
      <c r="G206" s="5">
        <v>36206552.520000003</v>
      </c>
      <c r="H206" s="6">
        <v>19.43</v>
      </c>
      <c r="I206" s="6">
        <v>9.32</v>
      </c>
      <c r="J206" s="5">
        <v>1505.73</v>
      </c>
      <c r="K206" s="5">
        <v>10478.52</v>
      </c>
      <c r="L206" s="5">
        <v>186272991.09999999</v>
      </c>
      <c r="M206" s="5">
        <v>186327512</v>
      </c>
      <c r="N206" s="5">
        <v>70562.81</v>
      </c>
      <c r="O206" s="5">
        <v>186285796.19999999</v>
      </c>
      <c r="P206" s="5">
        <v>186273335.19999999</v>
      </c>
      <c r="Q206" s="5">
        <v>12461</v>
      </c>
      <c r="R206" s="5">
        <v>17367219.219999999</v>
      </c>
      <c r="S206" s="5">
        <v>18839333.300000001</v>
      </c>
      <c r="T206" s="5">
        <v>42441.85</v>
      </c>
      <c r="U206" s="5">
        <v>43221.61</v>
      </c>
      <c r="V206" s="5">
        <v>6921.64</v>
      </c>
      <c r="W206" s="5">
        <v>5883.52</v>
      </c>
      <c r="X206" s="5">
        <v>4639.51</v>
      </c>
      <c r="Y206" s="4">
        <v>3611254</v>
      </c>
    </row>
    <row r="207" spans="1:25" ht="16.05" customHeight="1" x14ac:dyDescent="0.3">
      <c r="A207" s="7">
        <v>418</v>
      </c>
      <c r="B207" s="7">
        <v>6</v>
      </c>
      <c r="C207" s="7">
        <v>2022</v>
      </c>
      <c r="D207" s="8" t="s">
        <v>29</v>
      </c>
      <c r="E207" s="9">
        <v>5092</v>
      </c>
      <c r="F207" s="10">
        <v>287746850.39999998</v>
      </c>
      <c r="G207" s="10">
        <v>35738158.82</v>
      </c>
      <c r="H207" s="11">
        <v>12.42</v>
      </c>
      <c r="I207" s="11">
        <v>16.86</v>
      </c>
      <c r="J207" s="10">
        <v>5121.24</v>
      </c>
      <c r="K207" s="10">
        <v>6880.03</v>
      </c>
      <c r="L207" s="10">
        <v>287661957.80000001</v>
      </c>
      <c r="M207" s="10">
        <v>287727517.30000001</v>
      </c>
      <c r="N207" s="10">
        <v>84892.61</v>
      </c>
      <c r="O207" s="10">
        <v>287675810.60000002</v>
      </c>
      <c r="P207" s="10">
        <v>287668120.60000002</v>
      </c>
      <c r="Q207" s="10">
        <v>7690</v>
      </c>
      <c r="R207" s="10">
        <v>48514118.979999997</v>
      </c>
      <c r="S207" s="10">
        <v>-12775960.16</v>
      </c>
      <c r="T207" s="10">
        <v>33538.480000000003</v>
      </c>
      <c r="U207" s="10">
        <v>8717.82</v>
      </c>
      <c r="V207" s="10">
        <v>7424.59</v>
      </c>
      <c r="W207" s="10">
        <v>6428.17</v>
      </c>
      <c r="X207" s="10">
        <v>3988.11</v>
      </c>
      <c r="Y207" s="9">
        <v>2759796</v>
      </c>
    </row>
    <row r="208" spans="1:25" ht="16.05" customHeight="1" x14ac:dyDescent="0.3">
      <c r="A208" s="2">
        <v>488</v>
      </c>
      <c r="B208" s="2">
        <v>7</v>
      </c>
      <c r="C208" s="2">
        <v>2022</v>
      </c>
      <c r="D208" s="3" t="s">
        <v>29</v>
      </c>
      <c r="E208" s="4">
        <v>653</v>
      </c>
      <c r="F208" s="5">
        <v>3837818.08</v>
      </c>
      <c r="G208" s="5">
        <v>668547.91</v>
      </c>
      <c r="H208" s="6">
        <v>17.420000000000002</v>
      </c>
      <c r="I208" s="6">
        <v>15.35</v>
      </c>
      <c r="J208" s="5">
        <v>10253.700000000001</v>
      </c>
      <c r="K208" s="5">
        <v>8025.25</v>
      </c>
      <c r="L208" s="5">
        <v>3738112.62</v>
      </c>
      <c r="M208" s="5">
        <v>3832493.75</v>
      </c>
      <c r="N208" s="5">
        <v>99705.46</v>
      </c>
      <c r="O208" s="5">
        <v>3750687.99</v>
      </c>
      <c r="P208" s="5">
        <v>3743841.52</v>
      </c>
      <c r="Q208" s="5">
        <v>6846.47</v>
      </c>
      <c r="R208" s="5">
        <v>589105.07999999996</v>
      </c>
      <c r="S208" s="5">
        <v>79442.83</v>
      </c>
      <c r="T208" s="5">
        <v>81588.539999999994</v>
      </c>
      <c r="U208" s="5">
        <v>26181.74</v>
      </c>
      <c r="V208" s="5">
        <v>5947.96</v>
      </c>
      <c r="W208" s="5">
        <v>6627.41</v>
      </c>
      <c r="X208" s="5">
        <v>2921.77</v>
      </c>
      <c r="Y208" s="4">
        <v>2458158</v>
      </c>
    </row>
    <row r="209" spans="1:25" ht="16.05" customHeight="1" x14ac:dyDescent="0.3">
      <c r="A209" s="7">
        <v>558</v>
      </c>
      <c r="B209" s="7">
        <v>8</v>
      </c>
      <c r="C209" s="7">
        <v>2022</v>
      </c>
      <c r="D209" s="8" t="s">
        <v>29</v>
      </c>
      <c r="E209" s="9">
        <v>227</v>
      </c>
      <c r="F209" s="10">
        <v>9637335.1600000001</v>
      </c>
      <c r="G209" s="10">
        <v>1524626.42</v>
      </c>
      <c r="H209" s="11">
        <v>15.82</v>
      </c>
      <c r="I209" s="11">
        <v>5.77</v>
      </c>
      <c r="J209" s="10">
        <v>11798.69</v>
      </c>
      <c r="K209" s="10">
        <v>19953.53</v>
      </c>
      <c r="L209" s="10">
        <v>9558299.6099999994</v>
      </c>
      <c r="M209" s="10">
        <v>9617805.1999999993</v>
      </c>
      <c r="N209" s="10">
        <v>79035.55</v>
      </c>
      <c r="O209" s="10">
        <v>9566099.3900000006</v>
      </c>
      <c r="P209" s="10">
        <v>9551443.8200000003</v>
      </c>
      <c r="Q209" s="10">
        <v>14655.57</v>
      </c>
      <c r="R209" s="10">
        <v>556074.23999999999</v>
      </c>
      <c r="S209" s="10">
        <v>968552.18</v>
      </c>
      <c r="T209" s="10">
        <v>95935.9</v>
      </c>
      <c r="U209" s="10">
        <v>9433.8700000000008</v>
      </c>
      <c r="V209" s="10">
        <v>6940.69</v>
      </c>
      <c r="W209" s="10">
        <v>859.09</v>
      </c>
      <c r="X209" s="10">
        <v>4994.24</v>
      </c>
      <c r="Y209" s="9">
        <v>2732877</v>
      </c>
    </row>
    <row r="210" spans="1:25" ht="16.05" customHeight="1" x14ac:dyDescent="0.3">
      <c r="A210" s="2">
        <v>628</v>
      </c>
      <c r="B210" s="2">
        <v>9</v>
      </c>
      <c r="C210" s="2">
        <v>2022</v>
      </c>
      <c r="D210" s="3" t="s">
        <v>29</v>
      </c>
      <c r="E210" s="4">
        <v>2053</v>
      </c>
      <c r="F210" s="5">
        <v>136827170.19999999</v>
      </c>
      <c r="G210" s="5">
        <v>19402092.73</v>
      </c>
      <c r="H210" s="6">
        <v>14.18</v>
      </c>
      <c r="I210" s="6">
        <v>14.69</v>
      </c>
      <c r="J210" s="5">
        <v>11081.4</v>
      </c>
      <c r="K210" s="5">
        <v>5609.88</v>
      </c>
      <c r="L210" s="5">
        <v>136754234.19999999</v>
      </c>
      <c r="M210" s="5">
        <v>136817266.90000001</v>
      </c>
      <c r="N210" s="5">
        <v>72936</v>
      </c>
      <c r="O210" s="5">
        <v>136766163.30000001</v>
      </c>
      <c r="P210" s="5">
        <v>136764614.5</v>
      </c>
      <c r="Q210" s="5">
        <v>1548.78</v>
      </c>
      <c r="R210" s="5">
        <v>20099911.300000001</v>
      </c>
      <c r="S210" s="5">
        <v>-697818.57</v>
      </c>
      <c r="T210" s="5">
        <v>35049.620000000003</v>
      </c>
      <c r="U210" s="5">
        <v>9926.08</v>
      </c>
      <c r="V210" s="5">
        <v>9755.77</v>
      </c>
      <c r="W210" s="5">
        <v>2173.38</v>
      </c>
      <c r="X210" s="5">
        <v>3636.08</v>
      </c>
      <c r="Y210" s="4">
        <v>3604297</v>
      </c>
    </row>
    <row r="211" spans="1:25" ht="16.05" customHeight="1" x14ac:dyDescent="0.3">
      <c r="A211" s="7">
        <v>698</v>
      </c>
      <c r="B211" s="7">
        <v>10</v>
      </c>
      <c r="C211" s="7">
        <v>2022</v>
      </c>
      <c r="D211" s="8" t="s">
        <v>29</v>
      </c>
      <c r="E211" s="9">
        <v>1457</v>
      </c>
      <c r="F211" s="10">
        <v>58086801.299999997</v>
      </c>
      <c r="G211" s="10">
        <v>7138867.8799999999</v>
      </c>
      <c r="H211" s="11">
        <v>12.29</v>
      </c>
      <c r="I211" s="11">
        <v>18.63</v>
      </c>
      <c r="J211" s="10">
        <v>5208.54</v>
      </c>
      <c r="K211" s="10">
        <v>12232.43</v>
      </c>
      <c r="L211" s="10">
        <v>57990234.549999997</v>
      </c>
      <c r="M211" s="10">
        <v>58081834.700000003</v>
      </c>
      <c r="N211" s="10">
        <v>96566.75</v>
      </c>
      <c r="O211" s="10">
        <v>58005186.310000002</v>
      </c>
      <c r="P211" s="10">
        <v>57996928.82</v>
      </c>
      <c r="Q211" s="10">
        <v>8257.49</v>
      </c>
      <c r="R211" s="10">
        <v>10821571.08</v>
      </c>
      <c r="S211" s="10">
        <v>-3682703.2</v>
      </c>
      <c r="T211" s="10">
        <v>57352.42</v>
      </c>
      <c r="U211" s="10">
        <v>32274.66</v>
      </c>
      <c r="V211" s="10">
        <v>7463.4</v>
      </c>
      <c r="W211" s="10">
        <v>7488.36</v>
      </c>
      <c r="X211" s="10">
        <v>4118.4399999999996</v>
      </c>
      <c r="Y211" s="9">
        <v>1001589</v>
      </c>
    </row>
    <row r="212" spans="1:25" ht="16.05" customHeight="1" x14ac:dyDescent="0.3">
      <c r="A212" s="2">
        <v>768</v>
      </c>
      <c r="B212" s="2">
        <v>11</v>
      </c>
      <c r="C212" s="2">
        <v>2022</v>
      </c>
      <c r="D212" s="3" t="s">
        <v>29</v>
      </c>
      <c r="E212" s="4">
        <v>5108</v>
      </c>
      <c r="F212" s="5">
        <v>52902371.439999998</v>
      </c>
      <c r="G212" s="5">
        <v>6411767.4199999999</v>
      </c>
      <c r="H212" s="6">
        <v>12.12</v>
      </c>
      <c r="I212" s="6">
        <v>19.22</v>
      </c>
      <c r="J212" s="5">
        <v>14529.56</v>
      </c>
      <c r="K212" s="5">
        <v>11026.23</v>
      </c>
      <c r="L212" s="5">
        <v>52889968.43</v>
      </c>
      <c r="M212" s="5">
        <v>52888938.619999997</v>
      </c>
      <c r="N212" s="5">
        <v>12403.01</v>
      </c>
      <c r="O212" s="5">
        <v>52899168.009999998</v>
      </c>
      <c r="P212" s="5">
        <v>52892343.390000001</v>
      </c>
      <c r="Q212" s="5">
        <v>6824.62</v>
      </c>
      <c r="R212" s="5">
        <v>10167835.789999999</v>
      </c>
      <c r="S212" s="5">
        <v>-3756068.37</v>
      </c>
      <c r="T212" s="5">
        <v>38438.39</v>
      </c>
      <c r="U212" s="5">
        <v>38565.81</v>
      </c>
      <c r="V212" s="5">
        <v>5696.32</v>
      </c>
      <c r="W212" s="5">
        <v>3503.26</v>
      </c>
      <c r="X212" s="5">
        <v>4352.91</v>
      </c>
      <c r="Y212" s="4">
        <v>4196371</v>
      </c>
    </row>
    <row r="213" spans="1:25" ht="16.05" customHeight="1" x14ac:dyDescent="0.3">
      <c r="A213" s="7">
        <v>838</v>
      </c>
      <c r="B213" s="7">
        <v>12</v>
      </c>
      <c r="C213" s="7">
        <v>2022</v>
      </c>
      <c r="D213" s="8" t="s">
        <v>29</v>
      </c>
      <c r="E213" s="9">
        <v>186</v>
      </c>
      <c r="F213" s="10">
        <v>11505801.369999999</v>
      </c>
      <c r="G213" s="10">
        <v>2401260.75</v>
      </c>
      <c r="H213" s="11">
        <v>20.87</v>
      </c>
      <c r="I213" s="11">
        <v>6.73</v>
      </c>
      <c r="J213" s="10">
        <v>5971.18</v>
      </c>
      <c r="K213" s="10">
        <v>4079.11</v>
      </c>
      <c r="L213" s="10">
        <v>11473310.48</v>
      </c>
      <c r="M213" s="10">
        <v>11491521.23</v>
      </c>
      <c r="N213" s="10">
        <v>32490.89</v>
      </c>
      <c r="O213" s="10">
        <v>11487056.74</v>
      </c>
      <c r="P213" s="10">
        <v>11473852.970000001</v>
      </c>
      <c r="Q213" s="10">
        <v>13203.77</v>
      </c>
      <c r="R213" s="10">
        <v>774340.43</v>
      </c>
      <c r="S213" s="10">
        <v>1626920.31</v>
      </c>
      <c r="T213" s="10">
        <v>39122.620000000003</v>
      </c>
      <c r="U213" s="10">
        <v>59036.29</v>
      </c>
      <c r="V213" s="10">
        <v>7796.99</v>
      </c>
      <c r="W213" s="10">
        <v>5949.27</v>
      </c>
      <c r="X213" s="10">
        <v>2340.4</v>
      </c>
      <c r="Y213" s="9">
        <v>3622032</v>
      </c>
    </row>
    <row r="214" spans="1:25" ht="16.05" customHeight="1" x14ac:dyDescent="0.3">
      <c r="A214" s="2">
        <v>908</v>
      </c>
      <c r="B214" s="2">
        <v>13</v>
      </c>
      <c r="C214" s="2">
        <v>2022</v>
      </c>
      <c r="D214" s="3" t="s">
        <v>29</v>
      </c>
      <c r="E214" s="4">
        <v>3189</v>
      </c>
      <c r="F214" s="5">
        <v>40777362.590000004</v>
      </c>
      <c r="G214" s="5">
        <v>2593440.2599999998</v>
      </c>
      <c r="H214" s="6">
        <v>6.36</v>
      </c>
      <c r="I214" s="6">
        <v>10.9</v>
      </c>
      <c r="J214" s="5">
        <v>5570.82</v>
      </c>
      <c r="K214" s="5">
        <v>10178.31</v>
      </c>
      <c r="L214" s="5">
        <v>40734808.390000001</v>
      </c>
      <c r="M214" s="5">
        <v>40769354.009999998</v>
      </c>
      <c r="N214" s="5">
        <v>42554.2</v>
      </c>
      <c r="O214" s="5">
        <v>40745306.780000001</v>
      </c>
      <c r="P214" s="5">
        <v>40732407.619999997</v>
      </c>
      <c r="Q214" s="5">
        <v>12899.16</v>
      </c>
      <c r="R214" s="5">
        <v>4444732.5199999996</v>
      </c>
      <c r="S214" s="5">
        <v>-1851292.26</v>
      </c>
      <c r="T214" s="5">
        <v>76653.06</v>
      </c>
      <c r="U214" s="5">
        <v>41055.129999999997</v>
      </c>
      <c r="V214" s="5">
        <v>6438.19</v>
      </c>
      <c r="W214" s="5">
        <v>4060.2</v>
      </c>
      <c r="X214" s="5">
        <v>1446.23</v>
      </c>
      <c r="Y214" s="4">
        <v>2468446</v>
      </c>
    </row>
    <row r="215" spans="1:25" ht="16.05" customHeight="1" x14ac:dyDescent="0.3">
      <c r="A215" s="7">
        <v>978</v>
      </c>
      <c r="B215" s="7">
        <v>14</v>
      </c>
      <c r="C215" s="7">
        <v>2022</v>
      </c>
      <c r="D215" s="8" t="s">
        <v>29</v>
      </c>
      <c r="E215" s="9">
        <v>4304</v>
      </c>
      <c r="F215" s="10">
        <v>102305455</v>
      </c>
      <c r="G215" s="10">
        <v>26323193.579999998</v>
      </c>
      <c r="H215" s="11">
        <v>25.73</v>
      </c>
      <c r="I215" s="11">
        <v>9.26</v>
      </c>
      <c r="J215" s="10">
        <v>13748.6</v>
      </c>
      <c r="K215" s="10">
        <v>13874.06</v>
      </c>
      <c r="L215" s="10">
        <v>102223412.8</v>
      </c>
      <c r="M215" s="10">
        <v>102283791.09999999</v>
      </c>
      <c r="N215" s="10">
        <v>82042.27</v>
      </c>
      <c r="O215" s="10">
        <v>102229558.2</v>
      </c>
      <c r="P215" s="10">
        <v>102222699.3</v>
      </c>
      <c r="Q215" s="10">
        <v>6858.94</v>
      </c>
      <c r="R215" s="10">
        <v>9473485.1400000006</v>
      </c>
      <c r="S215" s="10">
        <v>16849708.440000001</v>
      </c>
      <c r="T215" s="10">
        <v>90892.37</v>
      </c>
      <c r="U215" s="10">
        <v>45319.64</v>
      </c>
      <c r="V215" s="10">
        <v>2583.63</v>
      </c>
      <c r="W215" s="10">
        <v>3561.82</v>
      </c>
      <c r="X215" s="10">
        <v>3595.33</v>
      </c>
      <c r="Y215" s="9">
        <v>4212572</v>
      </c>
    </row>
    <row r="216" spans="1:25" ht="16.05" customHeight="1" x14ac:dyDescent="0.3">
      <c r="A216" s="2">
        <v>1048</v>
      </c>
      <c r="B216" s="2">
        <v>15</v>
      </c>
      <c r="C216" s="2">
        <v>2022</v>
      </c>
      <c r="D216" s="3" t="s">
        <v>29</v>
      </c>
      <c r="E216" s="4">
        <v>4784</v>
      </c>
      <c r="F216" s="5">
        <v>150651758.69999999</v>
      </c>
      <c r="G216" s="5">
        <v>29708526.809999999</v>
      </c>
      <c r="H216" s="6">
        <v>19.72</v>
      </c>
      <c r="I216" s="6">
        <v>9.9</v>
      </c>
      <c r="J216" s="5">
        <v>10906.77</v>
      </c>
      <c r="K216" s="5">
        <v>14906.91</v>
      </c>
      <c r="L216" s="5">
        <v>150606036.90000001</v>
      </c>
      <c r="M216" s="5">
        <v>150648482</v>
      </c>
      <c r="N216" s="5">
        <v>45721.77</v>
      </c>
      <c r="O216" s="5">
        <v>150612959</v>
      </c>
      <c r="P216" s="5">
        <v>150601124.69999999</v>
      </c>
      <c r="Q216" s="5">
        <v>11834.33</v>
      </c>
      <c r="R216" s="5">
        <v>14914524.109999999</v>
      </c>
      <c r="S216" s="5">
        <v>14794002.699999999</v>
      </c>
      <c r="T216" s="5">
        <v>76140.09</v>
      </c>
      <c r="U216" s="5">
        <v>5365.77</v>
      </c>
      <c r="V216" s="5">
        <v>3706.87</v>
      </c>
      <c r="W216" s="5">
        <v>3215.23</v>
      </c>
      <c r="X216" s="5">
        <v>4827.67</v>
      </c>
      <c r="Y216" s="4">
        <v>2741285</v>
      </c>
    </row>
    <row r="217" spans="1:25" ht="16.05" customHeight="1" x14ac:dyDescent="0.3">
      <c r="A217" s="7">
        <v>1118</v>
      </c>
      <c r="B217" s="7">
        <v>16</v>
      </c>
      <c r="C217" s="7">
        <v>2022</v>
      </c>
      <c r="D217" s="8" t="s">
        <v>29</v>
      </c>
      <c r="E217" s="9">
        <v>6700</v>
      </c>
      <c r="F217" s="10">
        <v>420720854.60000002</v>
      </c>
      <c r="G217" s="10">
        <v>118979857.7</v>
      </c>
      <c r="H217" s="11">
        <v>28.28</v>
      </c>
      <c r="I217" s="11">
        <v>9.07</v>
      </c>
      <c r="J217" s="10">
        <v>5284.21</v>
      </c>
      <c r="K217" s="10">
        <v>19479.400000000001</v>
      </c>
      <c r="L217" s="10">
        <v>420693389.69999999</v>
      </c>
      <c r="M217" s="10">
        <v>420697078</v>
      </c>
      <c r="N217" s="10">
        <v>27464.89</v>
      </c>
      <c r="O217" s="10">
        <v>420706265.30000001</v>
      </c>
      <c r="P217" s="10">
        <v>420691373.39999998</v>
      </c>
      <c r="Q217" s="10">
        <v>14891.92</v>
      </c>
      <c r="R217" s="10">
        <v>38159381.509999998</v>
      </c>
      <c r="S217" s="10">
        <v>80820476.170000002</v>
      </c>
      <c r="T217" s="10">
        <v>58862.02</v>
      </c>
      <c r="U217" s="10">
        <v>12837.2</v>
      </c>
      <c r="V217" s="10">
        <v>6520.52</v>
      </c>
      <c r="W217" s="10">
        <v>6355.09</v>
      </c>
      <c r="X217" s="10">
        <v>3485.01</v>
      </c>
      <c r="Y217" s="9">
        <v>1061376</v>
      </c>
    </row>
    <row r="218" spans="1:25" ht="16.05" customHeight="1" x14ac:dyDescent="0.3">
      <c r="A218" s="2">
        <v>1188</v>
      </c>
      <c r="B218" s="2">
        <v>17</v>
      </c>
      <c r="C218" s="2">
        <v>2022</v>
      </c>
      <c r="D218" s="3" t="s">
        <v>29</v>
      </c>
      <c r="E218" s="4">
        <v>3995</v>
      </c>
      <c r="F218" s="5">
        <v>257048525</v>
      </c>
      <c r="G218" s="5">
        <v>17787757.93</v>
      </c>
      <c r="H218" s="6">
        <v>6.92</v>
      </c>
      <c r="I218" s="6">
        <v>11.29</v>
      </c>
      <c r="J218" s="5">
        <v>13753.2</v>
      </c>
      <c r="K218" s="5">
        <v>15417.14</v>
      </c>
      <c r="L218" s="5">
        <v>257001335.5</v>
      </c>
      <c r="M218" s="5">
        <v>257032989</v>
      </c>
      <c r="N218" s="5">
        <v>47189.53</v>
      </c>
      <c r="O218" s="5">
        <v>257006467.69999999</v>
      </c>
      <c r="P218" s="5">
        <v>256999745</v>
      </c>
      <c r="Q218" s="5">
        <v>6722.74</v>
      </c>
      <c r="R218" s="5">
        <v>29020778.469999999</v>
      </c>
      <c r="S218" s="5">
        <v>-11233020.539999999</v>
      </c>
      <c r="T218" s="5">
        <v>55354.92</v>
      </c>
      <c r="U218" s="5">
        <v>30396.43</v>
      </c>
      <c r="V218" s="5">
        <v>4082.01</v>
      </c>
      <c r="W218" s="5">
        <v>1050.23</v>
      </c>
      <c r="X218" s="5">
        <v>1666.77</v>
      </c>
      <c r="Y218" s="4">
        <v>3527224</v>
      </c>
    </row>
    <row r="219" spans="1:25" ht="16.05" customHeight="1" x14ac:dyDescent="0.3">
      <c r="A219" s="7">
        <v>1258</v>
      </c>
      <c r="B219" s="7">
        <v>18</v>
      </c>
      <c r="C219" s="7">
        <v>2022</v>
      </c>
      <c r="D219" s="8" t="s">
        <v>29</v>
      </c>
      <c r="E219" s="9">
        <v>6165</v>
      </c>
      <c r="F219" s="10">
        <v>35535790.149999999</v>
      </c>
      <c r="G219" s="10">
        <v>6357352.8600000003</v>
      </c>
      <c r="H219" s="11">
        <v>17.89</v>
      </c>
      <c r="I219" s="11">
        <v>16.91</v>
      </c>
      <c r="J219" s="10">
        <v>4107.34</v>
      </c>
      <c r="K219" s="10">
        <v>6223.81</v>
      </c>
      <c r="L219" s="10">
        <v>35440239.469999999</v>
      </c>
      <c r="M219" s="10">
        <v>35530872.57</v>
      </c>
      <c r="N219" s="10">
        <v>95550.68</v>
      </c>
      <c r="O219" s="10">
        <v>35444523.740000002</v>
      </c>
      <c r="P219" s="10">
        <v>35430592.619999997</v>
      </c>
      <c r="Q219" s="10">
        <v>13931.12</v>
      </c>
      <c r="R219" s="10">
        <v>6009102.1100000003</v>
      </c>
      <c r="S219" s="10">
        <v>348250.74</v>
      </c>
      <c r="T219" s="10">
        <v>86756.800000000003</v>
      </c>
      <c r="U219" s="10">
        <v>45037.5</v>
      </c>
      <c r="V219" s="10">
        <v>1318.31</v>
      </c>
      <c r="W219" s="10">
        <v>2965.96</v>
      </c>
      <c r="X219" s="10">
        <v>2677.34</v>
      </c>
      <c r="Y219" s="9">
        <v>4746187</v>
      </c>
    </row>
    <row r="220" spans="1:25" ht="16.05" customHeight="1" x14ac:dyDescent="0.3">
      <c r="A220" s="2">
        <v>1328</v>
      </c>
      <c r="B220" s="2">
        <v>19</v>
      </c>
      <c r="C220" s="2">
        <v>2022</v>
      </c>
      <c r="D220" s="3" t="s">
        <v>29</v>
      </c>
      <c r="E220" s="4">
        <v>5933</v>
      </c>
      <c r="F220" s="5">
        <v>215151632.09999999</v>
      </c>
      <c r="G220" s="5">
        <v>47978813.960000001</v>
      </c>
      <c r="H220" s="6">
        <v>22.3</v>
      </c>
      <c r="I220" s="6">
        <v>18.91</v>
      </c>
      <c r="J220" s="5">
        <v>6528.57</v>
      </c>
      <c r="K220" s="5">
        <v>7734.84</v>
      </c>
      <c r="L220" s="5">
        <v>215129287.40000001</v>
      </c>
      <c r="M220" s="5">
        <v>215127080.69999999</v>
      </c>
      <c r="N220" s="5">
        <v>22344.73</v>
      </c>
      <c r="O220" s="5">
        <v>215140151.30000001</v>
      </c>
      <c r="P220" s="5">
        <v>215129222.19999999</v>
      </c>
      <c r="Q220" s="5">
        <v>10929.12</v>
      </c>
      <c r="R220" s="5">
        <v>40685173.630000003</v>
      </c>
      <c r="S220" s="5">
        <v>7293640.3300000001</v>
      </c>
      <c r="T220" s="5">
        <v>19334.849999999999</v>
      </c>
      <c r="U220" s="5">
        <v>55629.73</v>
      </c>
      <c r="V220" s="5">
        <v>7460.77</v>
      </c>
      <c r="W220" s="5">
        <v>3403.14</v>
      </c>
      <c r="X220" s="5">
        <v>3264.05</v>
      </c>
      <c r="Y220" s="4">
        <v>2181665</v>
      </c>
    </row>
    <row r="221" spans="1:25" ht="16.05" customHeight="1" x14ac:dyDescent="0.3">
      <c r="A221" s="7">
        <v>1398</v>
      </c>
      <c r="B221" s="7">
        <v>20</v>
      </c>
      <c r="C221" s="7">
        <v>2022</v>
      </c>
      <c r="D221" s="8" t="s">
        <v>29</v>
      </c>
      <c r="E221" s="9">
        <v>2827</v>
      </c>
      <c r="F221" s="10">
        <v>91748701.269999996</v>
      </c>
      <c r="G221" s="10">
        <v>15092661.359999999</v>
      </c>
      <c r="H221" s="11">
        <v>16.45</v>
      </c>
      <c r="I221" s="11">
        <v>10.5</v>
      </c>
      <c r="J221" s="10">
        <v>5879.14</v>
      </c>
      <c r="K221" s="10">
        <v>11842.77</v>
      </c>
      <c r="L221" s="10">
        <v>91661108.689999998</v>
      </c>
      <c r="M221" s="10">
        <v>91739156.450000003</v>
      </c>
      <c r="N221" s="10">
        <v>87592.58</v>
      </c>
      <c r="O221" s="10">
        <v>91675521.420000002</v>
      </c>
      <c r="P221" s="10">
        <v>91662132.269999996</v>
      </c>
      <c r="Q221" s="10">
        <v>13389.15</v>
      </c>
      <c r="R221" s="10">
        <v>9633613.6300000008</v>
      </c>
      <c r="S221" s="10">
        <v>5459047.7300000004</v>
      </c>
      <c r="T221" s="10">
        <v>112201.84</v>
      </c>
      <c r="U221" s="10">
        <v>41969.24</v>
      </c>
      <c r="V221" s="10">
        <v>9757.9699999999993</v>
      </c>
      <c r="W221" s="10">
        <v>4654.76</v>
      </c>
      <c r="X221" s="10">
        <v>2089.7600000000002</v>
      </c>
      <c r="Y221" s="9">
        <v>1044738</v>
      </c>
    </row>
    <row r="222" spans="1:25" ht="16.05" customHeight="1" x14ac:dyDescent="0.3">
      <c r="A222" s="2">
        <v>1468</v>
      </c>
      <c r="B222" s="2">
        <v>21</v>
      </c>
      <c r="C222" s="2">
        <v>2022</v>
      </c>
      <c r="D222" s="3" t="s">
        <v>29</v>
      </c>
      <c r="E222" s="4">
        <v>3702</v>
      </c>
      <c r="F222" s="5">
        <v>224517343</v>
      </c>
      <c r="G222" s="5">
        <v>13875171.800000001</v>
      </c>
      <c r="H222" s="6">
        <v>6.18</v>
      </c>
      <c r="I222" s="6">
        <v>8.41</v>
      </c>
      <c r="J222" s="5">
        <v>14683.86</v>
      </c>
      <c r="K222" s="5">
        <v>15269.62</v>
      </c>
      <c r="L222" s="5">
        <v>224461397.80000001</v>
      </c>
      <c r="M222" s="5">
        <v>224491702.5</v>
      </c>
      <c r="N222" s="5">
        <v>55945.19</v>
      </c>
      <c r="O222" s="5">
        <v>224466845.19999999</v>
      </c>
      <c r="P222" s="5">
        <v>224456731</v>
      </c>
      <c r="Q222" s="5">
        <v>10114.23</v>
      </c>
      <c r="R222" s="5">
        <v>18881908.550000001</v>
      </c>
      <c r="S222" s="5">
        <v>-5006736.75</v>
      </c>
      <c r="T222" s="5">
        <v>82747.179999999993</v>
      </c>
      <c r="U222" s="5">
        <v>28511.86</v>
      </c>
      <c r="V222" s="5">
        <v>1149.3599999999999</v>
      </c>
      <c r="W222" s="5">
        <v>4297.9799999999996</v>
      </c>
      <c r="X222" s="5">
        <v>1777.65</v>
      </c>
      <c r="Y222" s="4">
        <v>1486668</v>
      </c>
    </row>
    <row r="223" spans="1:25" ht="16.05" customHeight="1" x14ac:dyDescent="0.3">
      <c r="A223" s="7">
        <v>1538</v>
      </c>
      <c r="B223" s="7">
        <v>22</v>
      </c>
      <c r="C223" s="7">
        <v>2022</v>
      </c>
      <c r="D223" s="8" t="s">
        <v>29</v>
      </c>
      <c r="E223" s="9">
        <v>4847</v>
      </c>
      <c r="F223" s="10">
        <v>78479669.170000002</v>
      </c>
      <c r="G223" s="10">
        <v>4434101.3099999996</v>
      </c>
      <c r="H223" s="11">
        <v>5.65</v>
      </c>
      <c r="I223" s="11">
        <v>14.81</v>
      </c>
      <c r="J223" s="10">
        <v>1156.1500000000001</v>
      </c>
      <c r="K223" s="10">
        <v>3759.55</v>
      </c>
      <c r="L223" s="10">
        <v>78421134.590000004</v>
      </c>
      <c r="M223" s="10">
        <v>78466053.980000004</v>
      </c>
      <c r="N223" s="10">
        <v>58534.58</v>
      </c>
      <c r="O223" s="10">
        <v>78436576.920000002</v>
      </c>
      <c r="P223" s="10">
        <v>78432179.219999999</v>
      </c>
      <c r="Q223" s="10">
        <v>4397.7</v>
      </c>
      <c r="R223" s="10">
        <v>11622839</v>
      </c>
      <c r="S223" s="10">
        <v>-7188737.7000000002</v>
      </c>
      <c r="T223" s="10">
        <v>34255.53</v>
      </c>
      <c r="U223" s="10">
        <v>19841.259999999998</v>
      </c>
      <c r="V223" s="10">
        <v>11585.94</v>
      </c>
      <c r="W223" s="10">
        <v>3856.39</v>
      </c>
      <c r="X223" s="10">
        <v>3387.14</v>
      </c>
      <c r="Y223" s="9">
        <v>1338231</v>
      </c>
    </row>
    <row r="224" spans="1:25" ht="16.05" customHeight="1" x14ac:dyDescent="0.3">
      <c r="A224" s="2">
        <v>1608</v>
      </c>
      <c r="B224" s="2">
        <v>23</v>
      </c>
      <c r="C224" s="2">
        <v>2022</v>
      </c>
      <c r="D224" s="3" t="s">
        <v>29</v>
      </c>
      <c r="E224" s="4">
        <v>772</v>
      </c>
      <c r="F224" s="5">
        <v>48748342.530000001</v>
      </c>
      <c r="G224" s="5">
        <v>5103951.46</v>
      </c>
      <c r="H224" s="6">
        <v>10.47</v>
      </c>
      <c r="I224" s="6">
        <v>9.76</v>
      </c>
      <c r="J224" s="5">
        <v>4373.25</v>
      </c>
      <c r="K224" s="5">
        <v>18274.3</v>
      </c>
      <c r="L224" s="5">
        <v>48719129.299999997</v>
      </c>
      <c r="M224" s="5">
        <v>48732259.119999997</v>
      </c>
      <c r="N224" s="5">
        <v>29213.23</v>
      </c>
      <c r="O224" s="5">
        <v>48732801.789999999</v>
      </c>
      <c r="P224" s="5">
        <v>48729838.140000001</v>
      </c>
      <c r="Q224" s="5">
        <v>2963.65</v>
      </c>
      <c r="R224" s="5">
        <v>4757838.2300000004</v>
      </c>
      <c r="S224" s="5">
        <v>346113.23</v>
      </c>
      <c r="T224" s="5">
        <v>107430.65</v>
      </c>
      <c r="U224" s="5">
        <v>10875.43</v>
      </c>
      <c r="V224" s="5">
        <v>8459.2900000000009</v>
      </c>
      <c r="W224" s="5">
        <v>5213.2</v>
      </c>
      <c r="X224" s="5">
        <v>1597.14</v>
      </c>
      <c r="Y224" s="4">
        <v>1929505</v>
      </c>
    </row>
    <row r="225" spans="1:25" ht="16.05" customHeight="1" x14ac:dyDescent="0.3">
      <c r="A225" s="7">
        <v>1678</v>
      </c>
      <c r="B225" s="7">
        <v>24</v>
      </c>
      <c r="C225" s="7">
        <v>2022</v>
      </c>
      <c r="D225" s="8" t="s">
        <v>29</v>
      </c>
      <c r="E225" s="9">
        <v>5734</v>
      </c>
      <c r="F225" s="10">
        <v>29361571.68</v>
      </c>
      <c r="G225" s="10">
        <v>3784706.59</v>
      </c>
      <c r="H225" s="11">
        <v>12.89</v>
      </c>
      <c r="I225" s="11">
        <v>18.89</v>
      </c>
      <c r="J225" s="10">
        <v>11172.27</v>
      </c>
      <c r="K225" s="10">
        <v>12444.78</v>
      </c>
      <c r="L225" s="10">
        <v>29319472.210000001</v>
      </c>
      <c r="M225" s="10">
        <v>29354047.629999999</v>
      </c>
      <c r="N225" s="10">
        <v>42099.47</v>
      </c>
      <c r="O225" s="10">
        <v>29327977.68</v>
      </c>
      <c r="P225" s="10">
        <v>29324214.91</v>
      </c>
      <c r="Q225" s="10">
        <v>3762.77</v>
      </c>
      <c r="R225" s="10">
        <v>5546400.8899999997</v>
      </c>
      <c r="S225" s="10">
        <v>-1761694.3</v>
      </c>
      <c r="T225" s="10">
        <v>57068.4</v>
      </c>
      <c r="U225" s="10">
        <v>57066.6</v>
      </c>
      <c r="V225" s="10">
        <v>4903.51</v>
      </c>
      <c r="W225" s="10">
        <v>3601.96</v>
      </c>
      <c r="X225" s="10">
        <v>1593.55</v>
      </c>
      <c r="Y225" s="9">
        <v>3442440</v>
      </c>
    </row>
    <row r="226" spans="1:25" ht="16.05" customHeight="1" x14ac:dyDescent="0.3">
      <c r="A226" s="2">
        <v>1748</v>
      </c>
      <c r="B226" s="2">
        <v>25</v>
      </c>
      <c r="C226" s="2">
        <v>2022</v>
      </c>
      <c r="D226" s="3" t="s">
        <v>29</v>
      </c>
      <c r="E226" s="4">
        <v>286</v>
      </c>
      <c r="F226" s="5">
        <v>16796295.739999998</v>
      </c>
      <c r="G226" s="5">
        <v>1456238.84</v>
      </c>
      <c r="H226" s="6">
        <v>8.67</v>
      </c>
      <c r="I226" s="6">
        <v>19.5</v>
      </c>
      <c r="J226" s="5">
        <v>1069.99</v>
      </c>
      <c r="K226" s="5">
        <v>19828.38</v>
      </c>
      <c r="L226" s="5">
        <v>16733858.710000001</v>
      </c>
      <c r="M226" s="5">
        <v>16772954.710000001</v>
      </c>
      <c r="N226" s="5">
        <v>62437.03</v>
      </c>
      <c r="O226" s="5">
        <v>16749939.48</v>
      </c>
      <c r="P226" s="5">
        <v>16744086.17</v>
      </c>
      <c r="Q226" s="5">
        <v>5853.31</v>
      </c>
      <c r="R226" s="5">
        <v>3275277.67</v>
      </c>
      <c r="S226" s="5">
        <v>-1819038.83</v>
      </c>
      <c r="T226" s="5">
        <v>61351.77</v>
      </c>
      <c r="U226" s="5">
        <v>55972</v>
      </c>
      <c r="V226" s="5">
        <v>9377.25</v>
      </c>
      <c r="W226" s="5">
        <v>6703.52</v>
      </c>
      <c r="X226" s="5">
        <v>1744.04</v>
      </c>
      <c r="Y226" s="4">
        <v>4831308</v>
      </c>
    </row>
    <row r="227" spans="1:25" ht="16.05" customHeight="1" x14ac:dyDescent="0.3">
      <c r="A227" s="7">
        <v>1818</v>
      </c>
      <c r="B227" s="7">
        <v>26</v>
      </c>
      <c r="C227" s="7">
        <v>2022</v>
      </c>
      <c r="D227" s="8" t="s">
        <v>29</v>
      </c>
      <c r="E227" s="9">
        <v>4369</v>
      </c>
      <c r="F227" s="10">
        <v>89599425.840000004</v>
      </c>
      <c r="G227" s="10">
        <v>5160926.93</v>
      </c>
      <c r="H227" s="11">
        <v>5.76</v>
      </c>
      <c r="I227" s="11">
        <v>7.74</v>
      </c>
      <c r="J227" s="10">
        <v>3354.78</v>
      </c>
      <c r="K227" s="10">
        <v>14830.14</v>
      </c>
      <c r="L227" s="10">
        <v>89562542.150000006</v>
      </c>
      <c r="M227" s="10">
        <v>89588479.090000004</v>
      </c>
      <c r="N227" s="10">
        <v>36883.69</v>
      </c>
      <c r="O227" s="10">
        <v>89571604.689999998</v>
      </c>
      <c r="P227" s="10">
        <v>89559946.739999995</v>
      </c>
      <c r="Q227" s="10">
        <v>11657.95</v>
      </c>
      <c r="R227" s="10">
        <v>6934995.5599999996</v>
      </c>
      <c r="S227" s="10">
        <v>-1774068.63</v>
      </c>
      <c r="T227" s="10">
        <v>72882.320000000007</v>
      </c>
      <c r="U227" s="10">
        <v>46084.47</v>
      </c>
      <c r="V227" s="10">
        <v>2860</v>
      </c>
      <c r="W227" s="10">
        <v>6202.54</v>
      </c>
      <c r="X227" s="10">
        <v>1785.52</v>
      </c>
      <c r="Y227" s="9">
        <v>1720102</v>
      </c>
    </row>
    <row r="228" spans="1:25" ht="16.05" customHeight="1" x14ac:dyDescent="0.3">
      <c r="A228" s="2">
        <v>1888</v>
      </c>
      <c r="B228" s="2">
        <v>27</v>
      </c>
      <c r="C228" s="2">
        <v>2022</v>
      </c>
      <c r="D228" s="3" t="s">
        <v>29</v>
      </c>
      <c r="E228" s="4">
        <v>6209</v>
      </c>
      <c r="F228" s="5">
        <v>342575092.69999999</v>
      </c>
      <c r="G228" s="5">
        <v>20143415.449999999</v>
      </c>
      <c r="H228" s="6">
        <v>5.88</v>
      </c>
      <c r="I228" s="6">
        <v>5.58</v>
      </c>
      <c r="J228" s="5">
        <v>5399.03</v>
      </c>
      <c r="K228" s="5">
        <v>9137.1299999999992</v>
      </c>
      <c r="L228" s="5">
        <v>342486292.5</v>
      </c>
      <c r="M228" s="5">
        <v>342555731.89999998</v>
      </c>
      <c r="N228" s="5">
        <v>88800.22</v>
      </c>
      <c r="O228" s="5">
        <v>342499111.5</v>
      </c>
      <c r="P228" s="5">
        <v>342491200.30000001</v>
      </c>
      <c r="Q228" s="5">
        <v>7911.25</v>
      </c>
      <c r="R228" s="5">
        <v>19115690.170000002</v>
      </c>
      <c r="S228" s="5">
        <v>1027725.28</v>
      </c>
      <c r="T228" s="5">
        <v>65020.9</v>
      </c>
      <c r="U228" s="5">
        <v>18056.73</v>
      </c>
      <c r="V228" s="5">
        <v>5535.55</v>
      </c>
      <c r="W228" s="5">
        <v>7283.5</v>
      </c>
      <c r="X228" s="5">
        <v>1153.2</v>
      </c>
      <c r="Y228" s="4">
        <v>1023789</v>
      </c>
    </row>
    <row r="229" spans="1:25" ht="16.05" customHeight="1" x14ac:dyDescent="0.3">
      <c r="A229" s="7">
        <v>1958</v>
      </c>
      <c r="B229" s="7">
        <v>28</v>
      </c>
      <c r="C229" s="7">
        <v>2022</v>
      </c>
      <c r="D229" s="8" t="s">
        <v>29</v>
      </c>
      <c r="E229" s="9">
        <v>6837</v>
      </c>
      <c r="F229" s="10">
        <v>416485563.5</v>
      </c>
      <c r="G229" s="10">
        <v>39232940.079999998</v>
      </c>
      <c r="H229" s="11">
        <v>9.42</v>
      </c>
      <c r="I229" s="11">
        <v>12.76</v>
      </c>
      <c r="J229" s="10">
        <v>4317.92</v>
      </c>
      <c r="K229" s="10">
        <v>11885.41</v>
      </c>
      <c r="L229" s="10">
        <v>416411838.69999999</v>
      </c>
      <c r="M229" s="10">
        <v>416468713.5</v>
      </c>
      <c r="N229" s="10">
        <v>73724.77</v>
      </c>
      <c r="O229" s="10">
        <v>416416504.10000002</v>
      </c>
      <c r="P229" s="10">
        <v>416414923.19999999</v>
      </c>
      <c r="Q229" s="10">
        <v>1580.88</v>
      </c>
      <c r="R229" s="10">
        <v>53143557.899999999</v>
      </c>
      <c r="S229" s="10">
        <v>-13910617.82</v>
      </c>
      <c r="T229" s="10">
        <v>69889.42</v>
      </c>
      <c r="U229" s="10">
        <v>41746.43</v>
      </c>
      <c r="V229" s="10">
        <v>2509.73</v>
      </c>
      <c r="W229" s="10">
        <v>2155.64</v>
      </c>
      <c r="X229" s="10">
        <v>3443.43</v>
      </c>
      <c r="Y229" s="9">
        <v>2538984</v>
      </c>
    </row>
    <row r="230" spans="1:25" ht="16.05" customHeight="1" x14ac:dyDescent="0.3">
      <c r="A230" s="2">
        <v>2028</v>
      </c>
      <c r="B230" s="2">
        <v>29</v>
      </c>
      <c r="C230" s="2">
        <v>2022</v>
      </c>
      <c r="D230" s="3" t="s">
        <v>29</v>
      </c>
      <c r="E230" s="4">
        <v>3198</v>
      </c>
      <c r="F230" s="5">
        <v>179114358.19999999</v>
      </c>
      <c r="G230" s="5">
        <v>24986452.969999999</v>
      </c>
      <c r="H230" s="6">
        <v>13.95</v>
      </c>
      <c r="I230" s="6">
        <v>12.79</v>
      </c>
      <c r="J230" s="5">
        <v>5839.28</v>
      </c>
      <c r="K230" s="5">
        <v>16478.22</v>
      </c>
      <c r="L230" s="5">
        <v>179088894.90000001</v>
      </c>
      <c r="M230" s="5">
        <v>179091663.19999999</v>
      </c>
      <c r="N230" s="5">
        <v>25463.29</v>
      </c>
      <c r="O230" s="5">
        <v>179102836.40000001</v>
      </c>
      <c r="P230" s="5">
        <v>179099355.19999999</v>
      </c>
      <c r="Q230" s="5">
        <v>3481.18</v>
      </c>
      <c r="R230" s="5">
        <v>22908726.41</v>
      </c>
      <c r="S230" s="5">
        <v>2077726.56</v>
      </c>
      <c r="T230" s="5">
        <v>56942.79</v>
      </c>
      <c r="U230" s="5">
        <v>26788.28</v>
      </c>
      <c r="V230" s="5">
        <v>6162.23</v>
      </c>
      <c r="W230" s="5">
        <v>7779.29</v>
      </c>
      <c r="X230" s="5">
        <v>3715.54</v>
      </c>
      <c r="Y230" s="4">
        <v>1240423</v>
      </c>
    </row>
    <row r="231" spans="1:25" ht="16.05" customHeight="1" x14ac:dyDescent="0.3">
      <c r="A231" s="7">
        <v>2098</v>
      </c>
      <c r="B231" s="7">
        <v>30</v>
      </c>
      <c r="C231" s="7">
        <v>2022</v>
      </c>
      <c r="D231" s="8" t="s">
        <v>29</v>
      </c>
      <c r="E231" s="9">
        <v>272</v>
      </c>
      <c r="F231" s="10">
        <v>17600449.75</v>
      </c>
      <c r="G231" s="10">
        <v>4650038.82</v>
      </c>
      <c r="H231" s="11">
        <v>26.42</v>
      </c>
      <c r="I231" s="11">
        <v>10.36</v>
      </c>
      <c r="J231" s="10">
        <v>3696.21</v>
      </c>
      <c r="K231" s="10">
        <v>6333.55</v>
      </c>
      <c r="L231" s="10">
        <v>17567285.670000002</v>
      </c>
      <c r="M231" s="10">
        <v>17576149.82</v>
      </c>
      <c r="N231" s="10">
        <v>33164.080000000002</v>
      </c>
      <c r="O231" s="10">
        <v>17585707.579999998</v>
      </c>
      <c r="P231" s="10">
        <v>17575662.789999999</v>
      </c>
      <c r="Q231" s="10">
        <v>10044.790000000001</v>
      </c>
      <c r="R231" s="10">
        <v>1823406.59</v>
      </c>
      <c r="S231" s="10">
        <v>2826632.23</v>
      </c>
      <c r="T231" s="10">
        <v>117646.12</v>
      </c>
      <c r="U231" s="10">
        <v>31675.279999999999</v>
      </c>
      <c r="V231" s="10">
        <v>11608.13</v>
      </c>
      <c r="W231" s="10">
        <v>6813.78</v>
      </c>
      <c r="X231" s="10">
        <v>3343.74</v>
      </c>
      <c r="Y231" s="9">
        <v>4753465</v>
      </c>
    </row>
    <row r="232" spans="1:25" ht="16.05" customHeight="1" x14ac:dyDescent="0.3">
      <c r="A232" s="2">
        <v>2168</v>
      </c>
      <c r="B232" s="2">
        <v>31</v>
      </c>
      <c r="C232" s="2">
        <v>2022</v>
      </c>
      <c r="D232" s="3" t="s">
        <v>29</v>
      </c>
      <c r="E232" s="4">
        <v>5929</v>
      </c>
      <c r="F232" s="5">
        <v>305789677.19999999</v>
      </c>
      <c r="G232" s="5">
        <v>32016179.199999999</v>
      </c>
      <c r="H232" s="6">
        <v>10.47</v>
      </c>
      <c r="I232" s="6">
        <v>12.38</v>
      </c>
      <c r="J232" s="5">
        <v>1289.5999999999999</v>
      </c>
      <c r="K232" s="5">
        <v>5529.3</v>
      </c>
      <c r="L232" s="5">
        <v>305776097.30000001</v>
      </c>
      <c r="M232" s="5">
        <v>305776987.39999998</v>
      </c>
      <c r="N232" s="5">
        <v>13579.93</v>
      </c>
      <c r="O232" s="5">
        <v>305784447.60000002</v>
      </c>
      <c r="P232" s="5">
        <v>305776195.39999998</v>
      </c>
      <c r="Q232" s="5">
        <v>8252.2099999999991</v>
      </c>
      <c r="R232" s="5">
        <v>37856762.039999999</v>
      </c>
      <c r="S232" s="5">
        <v>-5840582.8300000001</v>
      </c>
      <c r="T232" s="5">
        <v>117522.25</v>
      </c>
      <c r="U232" s="5">
        <v>42109.62</v>
      </c>
      <c r="V232" s="5">
        <v>1091.6300000000001</v>
      </c>
      <c r="W232" s="5">
        <v>7258.68</v>
      </c>
      <c r="X232" s="5">
        <v>1942.87</v>
      </c>
      <c r="Y232" s="4">
        <v>1054365</v>
      </c>
    </row>
    <row r="233" spans="1:25" ht="16.05" customHeight="1" x14ac:dyDescent="0.3">
      <c r="A233" s="7">
        <v>2238</v>
      </c>
      <c r="B233" s="7">
        <v>32</v>
      </c>
      <c r="C233" s="7">
        <v>2022</v>
      </c>
      <c r="D233" s="8" t="s">
        <v>29</v>
      </c>
      <c r="E233" s="9">
        <v>3426</v>
      </c>
      <c r="F233" s="10">
        <v>168057021.69999999</v>
      </c>
      <c r="G233" s="10">
        <v>44602333.57</v>
      </c>
      <c r="H233" s="11">
        <v>26.54</v>
      </c>
      <c r="I233" s="11">
        <v>7.32</v>
      </c>
      <c r="J233" s="10">
        <v>11885.45</v>
      </c>
      <c r="K233" s="10">
        <v>4371.3500000000004</v>
      </c>
      <c r="L233" s="10">
        <v>168013678.69999999</v>
      </c>
      <c r="M233" s="10">
        <v>168050064.19999999</v>
      </c>
      <c r="N233" s="10">
        <v>43343.07</v>
      </c>
      <c r="O233" s="10">
        <v>168027332.80000001</v>
      </c>
      <c r="P233" s="10">
        <v>168015400.80000001</v>
      </c>
      <c r="Q233" s="10">
        <v>11931.94</v>
      </c>
      <c r="R233" s="10">
        <v>12301773.99</v>
      </c>
      <c r="S233" s="10">
        <v>32300559.579999998</v>
      </c>
      <c r="T233" s="10">
        <v>107329.07</v>
      </c>
      <c r="U233" s="10">
        <v>18843.66</v>
      </c>
      <c r="V233" s="10">
        <v>9306.43</v>
      </c>
      <c r="W233" s="10">
        <v>4347.6499999999996</v>
      </c>
      <c r="X233" s="10">
        <v>1884.1</v>
      </c>
      <c r="Y233" s="9">
        <v>2422078</v>
      </c>
    </row>
    <row r="234" spans="1:25" ht="16.05" customHeight="1" x14ac:dyDescent="0.3">
      <c r="A234" s="2">
        <v>2308</v>
      </c>
      <c r="B234" s="2">
        <v>33</v>
      </c>
      <c r="C234" s="2">
        <v>2022</v>
      </c>
      <c r="D234" s="3" t="s">
        <v>29</v>
      </c>
      <c r="E234" s="4">
        <v>3736</v>
      </c>
      <c r="F234" s="5">
        <v>59643349.939999998</v>
      </c>
      <c r="G234" s="5">
        <v>17302535.82</v>
      </c>
      <c r="H234" s="6">
        <v>29.01</v>
      </c>
      <c r="I234" s="6">
        <v>9.14</v>
      </c>
      <c r="J234" s="5">
        <v>3336.18</v>
      </c>
      <c r="K234" s="5">
        <v>8383.2900000000009</v>
      </c>
      <c r="L234" s="5">
        <v>59552915.039999999</v>
      </c>
      <c r="M234" s="5">
        <v>59626383.909999996</v>
      </c>
      <c r="N234" s="5">
        <v>90434.9</v>
      </c>
      <c r="O234" s="5">
        <v>59560193.850000001</v>
      </c>
      <c r="P234" s="5">
        <v>59545969.710000001</v>
      </c>
      <c r="Q234" s="5">
        <v>14224.14</v>
      </c>
      <c r="R234" s="5">
        <v>5451402.1799999997</v>
      </c>
      <c r="S234" s="5">
        <v>11851133.630000001</v>
      </c>
      <c r="T234" s="5">
        <v>101787.47</v>
      </c>
      <c r="U234" s="5">
        <v>32043.22</v>
      </c>
      <c r="V234" s="5">
        <v>6389.12</v>
      </c>
      <c r="W234" s="5">
        <v>889.69</v>
      </c>
      <c r="X234" s="5">
        <v>2233.5500000000002</v>
      </c>
      <c r="Y234" s="4">
        <v>2087588</v>
      </c>
    </row>
    <row r="235" spans="1:25" ht="16.05" customHeight="1" x14ac:dyDescent="0.3">
      <c r="A235" s="7">
        <v>2378</v>
      </c>
      <c r="B235" s="7">
        <v>34</v>
      </c>
      <c r="C235" s="7">
        <v>2022</v>
      </c>
      <c r="D235" s="8" t="s">
        <v>29</v>
      </c>
      <c r="E235" s="9">
        <v>3291</v>
      </c>
      <c r="F235" s="10">
        <v>99056457.170000002</v>
      </c>
      <c r="G235" s="10">
        <v>12114604.710000001</v>
      </c>
      <c r="H235" s="11">
        <v>12.23</v>
      </c>
      <c r="I235" s="11">
        <v>12.69</v>
      </c>
      <c r="J235" s="10">
        <v>8288.57</v>
      </c>
      <c r="K235" s="10">
        <v>9799.48</v>
      </c>
      <c r="L235" s="10">
        <v>98957227.730000004</v>
      </c>
      <c r="M235" s="10">
        <v>99039415.859999999</v>
      </c>
      <c r="N235" s="10">
        <v>99229.440000000002</v>
      </c>
      <c r="O235" s="10">
        <v>98969679.859999999</v>
      </c>
      <c r="P235" s="10">
        <v>98962116.849999994</v>
      </c>
      <c r="Q235" s="10">
        <v>7563.01</v>
      </c>
      <c r="R235" s="10">
        <v>12570264.42</v>
      </c>
      <c r="S235" s="10">
        <v>-455659.7</v>
      </c>
      <c r="T235" s="10">
        <v>114440.11</v>
      </c>
      <c r="U235" s="10">
        <v>22364.23</v>
      </c>
      <c r="V235" s="10">
        <v>8028.94</v>
      </c>
      <c r="W235" s="10">
        <v>4423.1899999999996</v>
      </c>
      <c r="X235" s="10">
        <v>4286.95</v>
      </c>
      <c r="Y235" s="9">
        <v>4822894</v>
      </c>
    </row>
    <row r="236" spans="1:25" ht="16.05" customHeight="1" x14ac:dyDescent="0.3">
      <c r="A236" s="2">
        <v>2448</v>
      </c>
      <c r="B236" s="2">
        <v>35</v>
      </c>
      <c r="C236" s="2">
        <v>2022</v>
      </c>
      <c r="D236" s="3" t="s">
        <v>29</v>
      </c>
      <c r="E236" s="4">
        <v>2388</v>
      </c>
      <c r="F236" s="5">
        <v>73422750.780000001</v>
      </c>
      <c r="G236" s="5">
        <v>8575777.2899999991</v>
      </c>
      <c r="H236" s="6">
        <v>11.68</v>
      </c>
      <c r="I236" s="6">
        <v>6.85</v>
      </c>
      <c r="J236" s="5">
        <v>6480.15</v>
      </c>
      <c r="K236" s="5">
        <v>11986.08</v>
      </c>
      <c r="L236" s="5">
        <v>73350549.939999998</v>
      </c>
      <c r="M236" s="5">
        <v>73407422.099999994</v>
      </c>
      <c r="N236" s="5">
        <v>72200.84</v>
      </c>
      <c r="O236" s="5">
        <v>73362310.310000002</v>
      </c>
      <c r="P236" s="5">
        <v>73347580.599999994</v>
      </c>
      <c r="Q236" s="5">
        <v>14729.71</v>
      </c>
      <c r="R236" s="5">
        <v>5029458.43</v>
      </c>
      <c r="S236" s="5">
        <v>3546318.86</v>
      </c>
      <c r="T236" s="5">
        <v>24920.69</v>
      </c>
      <c r="U236" s="5">
        <v>51015.99</v>
      </c>
      <c r="V236" s="5">
        <v>11197.74</v>
      </c>
      <c r="W236" s="5">
        <v>562.63</v>
      </c>
      <c r="X236" s="5">
        <v>3572.9</v>
      </c>
      <c r="Y236" s="4">
        <v>1758670</v>
      </c>
    </row>
    <row r="237" spans="1:25" ht="16.05" customHeight="1" x14ac:dyDescent="0.3">
      <c r="A237" s="7">
        <v>2518</v>
      </c>
      <c r="B237" s="7">
        <v>36</v>
      </c>
      <c r="C237" s="7">
        <v>2022</v>
      </c>
      <c r="D237" s="8" t="s">
        <v>29</v>
      </c>
      <c r="E237" s="9">
        <v>6474</v>
      </c>
      <c r="F237" s="10">
        <v>218692665.59999999</v>
      </c>
      <c r="G237" s="10">
        <v>40873659.200000003</v>
      </c>
      <c r="H237" s="11">
        <v>18.690000000000001</v>
      </c>
      <c r="I237" s="11">
        <v>10.19</v>
      </c>
      <c r="J237" s="10">
        <v>5966.56</v>
      </c>
      <c r="K237" s="10">
        <v>17389.82</v>
      </c>
      <c r="L237" s="10">
        <v>218637469.80000001</v>
      </c>
      <c r="M237" s="10">
        <v>218678777</v>
      </c>
      <c r="N237" s="10">
        <v>55195.85</v>
      </c>
      <c r="O237" s="10">
        <v>218656150.40000001</v>
      </c>
      <c r="P237" s="10">
        <v>218647233.80000001</v>
      </c>
      <c r="Q237" s="10">
        <v>8916.6200000000008</v>
      </c>
      <c r="R237" s="10">
        <v>22284782.629999999</v>
      </c>
      <c r="S237" s="10">
        <v>18588876.579999998</v>
      </c>
      <c r="T237" s="10">
        <v>50481.61</v>
      </c>
      <c r="U237" s="10">
        <v>15970.96</v>
      </c>
      <c r="V237" s="10">
        <v>11116.52</v>
      </c>
      <c r="W237" s="10">
        <v>7564.12</v>
      </c>
      <c r="X237" s="10">
        <v>3313.7</v>
      </c>
      <c r="Y237" s="9">
        <v>3260223</v>
      </c>
    </row>
    <row r="238" spans="1:25" ht="16.05" customHeight="1" x14ac:dyDescent="0.3">
      <c r="A238" s="2">
        <v>2588</v>
      </c>
      <c r="B238" s="2">
        <v>37</v>
      </c>
      <c r="C238" s="2">
        <v>2022</v>
      </c>
      <c r="D238" s="3" t="s">
        <v>29</v>
      </c>
      <c r="E238" s="4">
        <v>5553</v>
      </c>
      <c r="F238" s="5">
        <v>105426992.09999999</v>
      </c>
      <c r="G238" s="5">
        <v>8212762.6900000004</v>
      </c>
      <c r="H238" s="6">
        <v>7.79</v>
      </c>
      <c r="I238" s="6">
        <v>5.83</v>
      </c>
      <c r="J238" s="5">
        <v>9151.64</v>
      </c>
      <c r="K238" s="5">
        <v>13178.14</v>
      </c>
      <c r="L238" s="5">
        <v>105408044.90000001</v>
      </c>
      <c r="M238" s="5">
        <v>105402489.5</v>
      </c>
      <c r="N238" s="5">
        <v>18947.240000000002</v>
      </c>
      <c r="O238" s="5">
        <v>105422605</v>
      </c>
      <c r="P238" s="5">
        <v>105414393.59999999</v>
      </c>
      <c r="Q238" s="5">
        <v>8211.34</v>
      </c>
      <c r="R238" s="5">
        <v>6146393.6399999997</v>
      </c>
      <c r="S238" s="5">
        <v>2066369.05</v>
      </c>
      <c r="T238" s="5">
        <v>67285.070000000007</v>
      </c>
      <c r="U238" s="5">
        <v>41085.019999999997</v>
      </c>
      <c r="V238" s="5">
        <v>8059.29</v>
      </c>
      <c r="W238" s="5">
        <v>6500.8</v>
      </c>
      <c r="X238" s="5">
        <v>1184.92</v>
      </c>
      <c r="Y238" s="4">
        <v>1231620</v>
      </c>
    </row>
    <row r="239" spans="1:25" ht="16.05" customHeight="1" x14ac:dyDescent="0.3">
      <c r="A239" s="7">
        <v>2658</v>
      </c>
      <c r="B239" s="7">
        <v>38</v>
      </c>
      <c r="C239" s="7">
        <v>2022</v>
      </c>
      <c r="D239" s="8" t="s">
        <v>29</v>
      </c>
      <c r="E239" s="9">
        <v>3907</v>
      </c>
      <c r="F239" s="10">
        <v>39697433.509999998</v>
      </c>
      <c r="G239" s="10">
        <v>5470306.3399999999</v>
      </c>
      <c r="H239" s="11">
        <v>13.78</v>
      </c>
      <c r="I239" s="11">
        <v>10.52</v>
      </c>
      <c r="J239" s="10">
        <v>8298.06</v>
      </c>
      <c r="K239" s="10">
        <v>4827.7299999999996</v>
      </c>
      <c r="L239" s="10">
        <v>39630956.090000004</v>
      </c>
      <c r="M239" s="10">
        <v>39683672.189999998</v>
      </c>
      <c r="N239" s="10">
        <v>66477.42</v>
      </c>
      <c r="O239" s="10">
        <v>39644925.640000001</v>
      </c>
      <c r="P239" s="10">
        <v>39638827.75</v>
      </c>
      <c r="Q239" s="10">
        <v>6097.89</v>
      </c>
      <c r="R239" s="10">
        <v>4176170.01</v>
      </c>
      <c r="S239" s="10">
        <v>1294136.33</v>
      </c>
      <c r="T239" s="10">
        <v>79512.58</v>
      </c>
      <c r="U239" s="10">
        <v>27990.41</v>
      </c>
      <c r="V239" s="10">
        <v>11476.62</v>
      </c>
      <c r="W239" s="10">
        <v>2492.9299999999998</v>
      </c>
      <c r="X239" s="10">
        <v>3261.1</v>
      </c>
      <c r="Y239" s="9">
        <v>3056634</v>
      </c>
    </row>
    <row r="240" spans="1:25" ht="16.05" customHeight="1" x14ac:dyDescent="0.3">
      <c r="A240" s="2">
        <v>2728</v>
      </c>
      <c r="B240" s="2">
        <v>39</v>
      </c>
      <c r="C240" s="2">
        <v>2022</v>
      </c>
      <c r="D240" s="3" t="s">
        <v>29</v>
      </c>
      <c r="E240" s="4">
        <v>4148</v>
      </c>
      <c r="F240" s="5">
        <v>46941106.109999999</v>
      </c>
      <c r="G240" s="5">
        <v>8543281.3100000005</v>
      </c>
      <c r="H240" s="6">
        <v>18.2</v>
      </c>
      <c r="I240" s="6">
        <v>6.07</v>
      </c>
      <c r="J240" s="5">
        <v>9239.68</v>
      </c>
      <c r="K240" s="5">
        <v>4272.13</v>
      </c>
      <c r="L240" s="5">
        <v>46883943.329999998</v>
      </c>
      <c r="M240" s="5">
        <v>46926031.020000003</v>
      </c>
      <c r="N240" s="5">
        <v>57162.78</v>
      </c>
      <c r="O240" s="5">
        <v>46898726.659999996</v>
      </c>
      <c r="P240" s="5">
        <v>46884854.560000002</v>
      </c>
      <c r="Q240" s="5">
        <v>13872.1</v>
      </c>
      <c r="R240" s="5">
        <v>2849325.14</v>
      </c>
      <c r="S240" s="5">
        <v>5693956.1699999999</v>
      </c>
      <c r="T240" s="5">
        <v>29861.25</v>
      </c>
      <c r="U240" s="5">
        <v>26132.92</v>
      </c>
      <c r="V240" s="5">
        <v>9412.89</v>
      </c>
      <c r="W240" s="5">
        <v>5370.44</v>
      </c>
      <c r="X240" s="5">
        <v>1674.1</v>
      </c>
      <c r="Y240" s="4">
        <v>4462088</v>
      </c>
    </row>
    <row r="241" spans="1:25" ht="16.05" customHeight="1" x14ac:dyDescent="0.3">
      <c r="A241" s="7">
        <v>2798</v>
      </c>
      <c r="B241" s="7">
        <v>40</v>
      </c>
      <c r="C241" s="7">
        <v>2022</v>
      </c>
      <c r="D241" s="8" t="s">
        <v>29</v>
      </c>
      <c r="E241" s="9">
        <v>2906</v>
      </c>
      <c r="F241" s="10">
        <v>117148073.8</v>
      </c>
      <c r="G241" s="10">
        <v>6407999.6399999997</v>
      </c>
      <c r="H241" s="11">
        <v>5.47</v>
      </c>
      <c r="I241" s="11">
        <v>18.84</v>
      </c>
      <c r="J241" s="10">
        <v>4704.2299999999996</v>
      </c>
      <c r="K241" s="10">
        <v>13032.72</v>
      </c>
      <c r="L241" s="10">
        <v>117098955.7</v>
      </c>
      <c r="M241" s="10">
        <v>117140583.59999999</v>
      </c>
      <c r="N241" s="10">
        <v>49118.07</v>
      </c>
      <c r="O241" s="10">
        <v>117114976.59999999</v>
      </c>
      <c r="P241" s="10">
        <v>117111203.3</v>
      </c>
      <c r="Q241" s="10">
        <v>3773.32</v>
      </c>
      <c r="R241" s="10">
        <v>22070697.100000001</v>
      </c>
      <c r="S241" s="10">
        <v>-15662697.470000001</v>
      </c>
      <c r="T241" s="10">
        <v>106729.59</v>
      </c>
      <c r="U241" s="10">
        <v>33808.97</v>
      </c>
      <c r="V241" s="10">
        <v>10476.200000000001</v>
      </c>
      <c r="W241" s="10">
        <v>5544.65</v>
      </c>
      <c r="X241" s="10">
        <v>3020.32</v>
      </c>
      <c r="Y241" s="9">
        <v>2624885</v>
      </c>
    </row>
    <row r="242" spans="1:25" ht="16.05" customHeight="1" x14ac:dyDescent="0.3">
      <c r="A242" s="2">
        <v>2868</v>
      </c>
      <c r="B242" s="2">
        <v>41</v>
      </c>
      <c r="C242" s="2">
        <v>2022</v>
      </c>
      <c r="D242" s="3" t="s">
        <v>29</v>
      </c>
      <c r="E242" s="4">
        <v>3837</v>
      </c>
      <c r="F242" s="5">
        <v>209187095.30000001</v>
      </c>
      <c r="G242" s="5">
        <v>55539173.799999997</v>
      </c>
      <c r="H242" s="6">
        <v>26.55</v>
      </c>
      <c r="I242" s="6">
        <v>18.399999999999999</v>
      </c>
      <c r="J242" s="5">
        <v>10138.56</v>
      </c>
      <c r="K242" s="5">
        <v>8528.1200000000008</v>
      </c>
      <c r="L242" s="5">
        <v>209112588.30000001</v>
      </c>
      <c r="M242" s="5">
        <v>209165090.30000001</v>
      </c>
      <c r="N242" s="5">
        <v>74506.98</v>
      </c>
      <c r="O242" s="5">
        <v>209125591.59999999</v>
      </c>
      <c r="P242" s="5">
        <v>209118618.90000001</v>
      </c>
      <c r="Q242" s="5">
        <v>6972.7</v>
      </c>
      <c r="R242" s="5">
        <v>38490425.530000001</v>
      </c>
      <c r="S242" s="5">
        <v>17048748.27</v>
      </c>
      <c r="T242" s="5">
        <v>79759.59</v>
      </c>
      <c r="U242" s="5">
        <v>41995.64</v>
      </c>
      <c r="V242" s="5">
        <v>9667.34</v>
      </c>
      <c r="W242" s="5">
        <v>3335.94</v>
      </c>
      <c r="X242" s="5">
        <v>2213.4</v>
      </c>
      <c r="Y242" s="4">
        <v>3942931</v>
      </c>
    </row>
    <row r="243" spans="1:25" ht="16.05" customHeight="1" x14ac:dyDescent="0.3">
      <c r="A243" s="7">
        <v>2938</v>
      </c>
      <c r="B243" s="7">
        <v>42</v>
      </c>
      <c r="C243" s="7">
        <v>2022</v>
      </c>
      <c r="D243" s="8" t="s">
        <v>29</v>
      </c>
      <c r="E243" s="9">
        <v>348</v>
      </c>
      <c r="F243" s="10">
        <v>21382719.91</v>
      </c>
      <c r="G243" s="10">
        <v>2687807.89</v>
      </c>
      <c r="H243" s="11">
        <v>12.57</v>
      </c>
      <c r="I243" s="11">
        <v>18.809999999999999</v>
      </c>
      <c r="J243" s="10">
        <v>8526.57</v>
      </c>
      <c r="K243" s="10">
        <v>8512.49</v>
      </c>
      <c r="L243" s="10">
        <v>21311676.260000002</v>
      </c>
      <c r="M243" s="10">
        <v>21378123.850000001</v>
      </c>
      <c r="N243" s="10">
        <v>71043.649999999994</v>
      </c>
      <c r="O243" s="10">
        <v>21327239.649999999</v>
      </c>
      <c r="P243" s="10">
        <v>21313689.859999999</v>
      </c>
      <c r="Q243" s="10">
        <v>13549.79</v>
      </c>
      <c r="R243" s="10">
        <v>4022089.62</v>
      </c>
      <c r="S243" s="10">
        <v>-1334281.72</v>
      </c>
      <c r="T243" s="10">
        <v>81345.440000000002</v>
      </c>
      <c r="U243" s="10">
        <v>29913.68</v>
      </c>
      <c r="V243" s="10">
        <v>8136.47</v>
      </c>
      <c r="W243" s="10">
        <v>7426.92</v>
      </c>
      <c r="X243" s="10">
        <v>4415.6000000000004</v>
      </c>
      <c r="Y243" s="9">
        <v>3884174</v>
      </c>
    </row>
    <row r="244" spans="1:25" ht="16.05" customHeight="1" x14ac:dyDescent="0.3">
      <c r="A244" s="2">
        <v>3008</v>
      </c>
      <c r="B244" s="2">
        <v>43</v>
      </c>
      <c r="C244" s="2">
        <v>2022</v>
      </c>
      <c r="D244" s="3" t="s">
        <v>29</v>
      </c>
      <c r="E244" s="4">
        <v>1691</v>
      </c>
      <c r="F244" s="5">
        <v>109601790.8</v>
      </c>
      <c r="G244" s="5">
        <v>5600651.5099999998</v>
      </c>
      <c r="H244" s="6">
        <v>5.1100000000000003</v>
      </c>
      <c r="I244" s="6">
        <v>9.7799999999999994</v>
      </c>
      <c r="J244" s="5">
        <v>7303.63</v>
      </c>
      <c r="K244" s="5">
        <v>9273.48</v>
      </c>
      <c r="L244" s="5">
        <v>109553484</v>
      </c>
      <c r="M244" s="5">
        <v>109577545.3</v>
      </c>
      <c r="N244" s="5">
        <v>48306.82</v>
      </c>
      <c r="O244" s="5">
        <v>109565362.3</v>
      </c>
      <c r="P244" s="5">
        <v>109563075.59999999</v>
      </c>
      <c r="Q244" s="5">
        <v>2286.7199999999998</v>
      </c>
      <c r="R244" s="5">
        <v>10719055.140000001</v>
      </c>
      <c r="S244" s="5">
        <v>-5118403.63</v>
      </c>
      <c r="T244" s="5">
        <v>111088.53</v>
      </c>
      <c r="U244" s="5">
        <v>37477.06</v>
      </c>
      <c r="V244" s="5">
        <v>9946.7800000000007</v>
      </c>
      <c r="W244" s="5">
        <v>1931.56</v>
      </c>
      <c r="X244" s="5">
        <v>1731.22</v>
      </c>
      <c r="Y244" s="4">
        <v>4450121</v>
      </c>
    </row>
    <row r="245" spans="1:25" ht="16.05" customHeight="1" x14ac:dyDescent="0.3">
      <c r="A245" s="7">
        <v>3078</v>
      </c>
      <c r="B245" s="7">
        <v>44</v>
      </c>
      <c r="C245" s="7">
        <v>2022</v>
      </c>
      <c r="D245" s="8" t="s">
        <v>29</v>
      </c>
      <c r="E245" s="9">
        <v>4527</v>
      </c>
      <c r="F245" s="10">
        <v>279099238</v>
      </c>
      <c r="G245" s="10">
        <v>39408812.399999999</v>
      </c>
      <c r="H245" s="11">
        <v>14.12</v>
      </c>
      <c r="I245" s="11">
        <v>18.13</v>
      </c>
      <c r="J245" s="10">
        <v>11969.72</v>
      </c>
      <c r="K245" s="10">
        <v>7737.58</v>
      </c>
      <c r="L245" s="10">
        <v>279033709.10000002</v>
      </c>
      <c r="M245" s="10">
        <v>279077312</v>
      </c>
      <c r="N245" s="10">
        <v>65528.91</v>
      </c>
      <c r="O245" s="10">
        <v>279039502.39999998</v>
      </c>
      <c r="P245" s="10">
        <v>279036356.89999998</v>
      </c>
      <c r="Q245" s="10">
        <v>3145.52</v>
      </c>
      <c r="R245" s="10">
        <v>50600691.850000001</v>
      </c>
      <c r="S245" s="10">
        <v>-11191879.439999999</v>
      </c>
      <c r="T245" s="10">
        <v>59764.03</v>
      </c>
      <c r="U245" s="10">
        <v>39677.279999999999</v>
      </c>
      <c r="V245" s="10">
        <v>1271.94</v>
      </c>
      <c r="W245" s="10">
        <v>4521.42</v>
      </c>
      <c r="X245" s="10">
        <v>3124.23</v>
      </c>
      <c r="Y245" s="9">
        <v>3320602</v>
      </c>
    </row>
    <row r="246" spans="1:25" ht="16.05" customHeight="1" x14ac:dyDescent="0.3">
      <c r="A246" s="2">
        <v>3148</v>
      </c>
      <c r="B246" s="2">
        <v>45</v>
      </c>
      <c r="C246" s="2">
        <v>2022</v>
      </c>
      <c r="D246" s="3" t="s">
        <v>29</v>
      </c>
      <c r="E246" s="4">
        <v>4664</v>
      </c>
      <c r="F246" s="5">
        <v>48621824.789999999</v>
      </c>
      <c r="G246" s="5">
        <v>4249547.49</v>
      </c>
      <c r="H246" s="6">
        <v>8.74</v>
      </c>
      <c r="I246" s="6">
        <v>15.38</v>
      </c>
      <c r="J246" s="5">
        <v>12953.21</v>
      </c>
      <c r="K246" s="5">
        <v>4233.5</v>
      </c>
      <c r="L246" s="5">
        <v>48610075.799999997</v>
      </c>
      <c r="M246" s="5">
        <v>48612051.390000001</v>
      </c>
      <c r="N246" s="5">
        <v>11748.99</v>
      </c>
      <c r="O246" s="5">
        <v>48621413.060000002</v>
      </c>
      <c r="P246" s="5">
        <v>48613710.399999999</v>
      </c>
      <c r="Q246" s="5">
        <v>7702.66</v>
      </c>
      <c r="R246" s="5">
        <v>7478036.6500000004</v>
      </c>
      <c r="S246" s="5">
        <v>-3228489.17</v>
      </c>
      <c r="T246" s="5">
        <v>42811.83</v>
      </c>
      <c r="U246" s="5">
        <v>35232.080000000002</v>
      </c>
      <c r="V246" s="5">
        <v>4660.79</v>
      </c>
      <c r="W246" s="5">
        <v>6676.47</v>
      </c>
      <c r="X246" s="5">
        <v>3749.44</v>
      </c>
      <c r="Y246" s="4">
        <v>4199088</v>
      </c>
    </row>
    <row r="247" spans="1:25" ht="16.05" customHeight="1" x14ac:dyDescent="0.3">
      <c r="A247" s="7">
        <v>3218</v>
      </c>
      <c r="B247" s="7">
        <v>46</v>
      </c>
      <c r="C247" s="7">
        <v>2022</v>
      </c>
      <c r="D247" s="8" t="s">
        <v>29</v>
      </c>
      <c r="E247" s="9">
        <v>4532</v>
      </c>
      <c r="F247" s="10">
        <v>295341506.80000001</v>
      </c>
      <c r="G247" s="10">
        <v>28943467.670000002</v>
      </c>
      <c r="H247" s="11">
        <v>9.8000000000000007</v>
      </c>
      <c r="I247" s="11">
        <v>19.97</v>
      </c>
      <c r="J247" s="10">
        <v>4302.26</v>
      </c>
      <c r="K247" s="10">
        <v>15035.56</v>
      </c>
      <c r="L247" s="10">
        <v>295323442.80000001</v>
      </c>
      <c r="M247" s="10">
        <v>295326453.69999999</v>
      </c>
      <c r="N247" s="10">
        <v>18063.990000000002</v>
      </c>
      <c r="O247" s="10">
        <v>295334344.80000001</v>
      </c>
      <c r="P247" s="10">
        <v>295324706.69999999</v>
      </c>
      <c r="Q247" s="10">
        <v>9638.11</v>
      </c>
      <c r="R247" s="10">
        <v>58979698.909999996</v>
      </c>
      <c r="S247" s="10">
        <v>-30036231.239999998</v>
      </c>
      <c r="T247" s="10">
        <v>41426.31</v>
      </c>
      <c r="U247" s="10">
        <v>39557.279999999999</v>
      </c>
      <c r="V247" s="10">
        <v>8222.11</v>
      </c>
      <c r="W247" s="10">
        <v>2679.83</v>
      </c>
      <c r="X247" s="10">
        <v>2448.7199999999998</v>
      </c>
      <c r="Y247" s="9">
        <v>4445018</v>
      </c>
    </row>
    <row r="248" spans="1:25" ht="16.05" customHeight="1" x14ac:dyDescent="0.3">
      <c r="A248" s="2">
        <v>3288</v>
      </c>
      <c r="B248" s="2">
        <v>47</v>
      </c>
      <c r="C248" s="2">
        <v>2022</v>
      </c>
      <c r="D248" s="3" t="s">
        <v>29</v>
      </c>
      <c r="E248" s="4">
        <v>4535</v>
      </c>
      <c r="F248" s="5">
        <v>99941251.920000002</v>
      </c>
      <c r="G248" s="5">
        <v>9644330.8100000005</v>
      </c>
      <c r="H248" s="6">
        <v>9.65</v>
      </c>
      <c r="I248" s="6">
        <v>12.68</v>
      </c>
      <c r="J248" s="5">
        <v>14256.49</v>
      </c>
      <c r="K248" s="5">
        <v>4337.68</v>
      </c>
      <c r="L248" s="5">
        <v>99866246.260000005</v>
      </c>
      <c r="M248" s="5">
        <v>99937383.790000007</v>
      </c>
      <c r="N248" s="5">
        <v>75005.66</v>
      </c>
      <c r="O248" s="5">
        <v>99881450.349999994</v>
      </c>
      <c r="P248" s="5">
        <v>99878109.810000002</v>
      </c>
      <c r="Q248" s="5">
        <v>3340.54</v>
      </c>
      <c r="R248" s="5">
        <v>12672550.74</v>
      </c>
      <c r="S248" s="5">
        <v>-3028219.93</v>
      </c>
      <c r="T248" s="5">
        <v>39392.83</v>
      </c>
      <c r="U248" s="5">
        <v>10945.31</v>
      </c>
      <c r="V248" s="5">
        <v>11905.14</v>
      </c>
      <c r="W248" s="5">
        <v>3298.95</v>
      </c>
      <c r="X248" s="5">
        <v>1246.55</v>
      </c>
      <c r="Y248" s="4">
        <v>1112860</v>
      </c>
    </row>
    <row r="249" spans="1:25" ht="16.05" customHeight="1" x14ac:dyDescent="0.3">
      <c r="A249" s="7">
        <v>3358</v>
      </c>
      <c r="B249" s="7">
        <v>48</v>
      </c>
      <c r="C249" s="7">
        <v>2022</v>
      </c>
      <c r="D249" s="8" t="s">
        <v>29</v>
      </c>
      <c r="E249" s="9">
        <v>3056</v>
      </c>
      <c r="F249" s="10">
        <v>76491428.430000007</v>
      </c>
      <c r="G249" s="10">
        <v>11902066.26</v>
      </c>
      <c r="H249" s="11">
        <v>15.56</v>
      </c>
      <c r="I249" s="11">
        <v>14.92</v>
      </c>
      <c r="J249" s="10">
        <v>14873.31</v>
      </c>
      <c r="K249" s="10">
        <v>8077.12</v>
      </c>
      <c r="L249" s="10">
        <v>76477635.840000004</v>
      </c>
      <c r="M249" s="10">
        <v>76479822.030000001</v>
      </c>
      <c r="N249" s="10">
        <v>13792.59</v>
      </c>
      <c r="O249" s="10">
        <v>76483208.909999996</v>
      </c>
      <c r="P249" s="10">
        <v>76474237.230000004</v>
      </c>
      <c r="Q249" s="10">
        <v>8971.68</v>
      </c>
      <c r="R249" s="10">
        <v>11412521.119999999</v>
      </c>
      <c r="S249" s="10">
        <v>489545.14</v>
      </c>
      <c r="T249" s="10">
        <v>68148.69</v>
      </c>
      <c r="U249" s="10">
        <v>22518.09</v>
      </c>
      <c r="V249" s="10">
        <v>3819.45</v>
      </c>
      <c r="W249" s="10">
        <v>1753.62</v>
      </c>
      <c r="X249" s="10">
        <v>1336.14</v>
      </c>
      <c r="Y249" s="9">
        <v>3553465</v>
      </c>
    </row>
    <row r="250" spans="1:25" ht="16.05" customHeight="1" x14ac:dyDescent="0.3">
      <c r="A250" s="2">
        <v>3428</v>
      </c>
      <c r="B250" s="2">
        <v>49</v>
      </c>
      <c r="C250" s="2">
        <v>2022</v>
      </c>
      <c r="D250" s="3" t="s">
        <v>29</v>
      </c>
      <c r="E250" s="4">
        <v>1701</v>
      </c>
      <c r="F250" s="5">
        <v>59976185.140000001</v>
      </c>
      <c r="G250" s="5">
        <v>10022020.539999999</v>
      </c>
      <c r="H250" s="6">
        <v>16.71</v>
      </c>
      <c r="I250" s="6">
        <v>18.91</v>
      </c>
      <c r="J250" s="5">
        <v>5524.08</v>
      </c>
      <c r="K250" s="5">
        <v>17727.939999999999</v>
      </c>
      <c r="L250" s="5">
        <v>59931388.630000003</v>
      </c>
      <c r="M250" s="5">
        <v>59961498.270000003</v>
      </c>
      <c r="N250" s="5">
        <v>44796.51</v>
      </c>
      <c r="O250" s="5">
        <v>59939153.880000003</v>
      </c>
      <c r="P250" s="5">
        <v>59932961.07</v>
      </c>
      <c r="Q250" s="5">
        <v>6192.81</v>
      </c>
      <c r="R250" s="5">
        <v>11341496.609999999</v>
      </c>
      <c r="S250" s="5">
        <v>-1319476.07</v>
      </c>
      <c r="T250" s="5">
        <v>71429.36</v>
      </c>
      <c r="U250" s="5">
        <v>47230.07</v>
      </c>
      <c r="V250" s="5">
        <v>2131.71</v>
      </c>
      <c r="W250" s="5">
        <v>5633.54</v>
      </c>
      <c r="X250" s="5">
        <v>2855.05</v>
      </c>
      <c r="Y250" s="4">
        <v>4056141</v>
      </c>
    </row>
    <row r="251" spans="1:25" ht="16.05" customHeight="1" x14ac:dyDescent="0.3">
      <c r="A251" s="7">
        <v>3498</v>
      </c>
      <c r="B251" s="7">
        <v>50</v>
      </c>
      <c r="C251" s="7">
        <v>2022</v>
      </c>
      <c r="D251" s="8" t="s">
        <v>29</v>
      </c>
      <c r="E251" s="9">
        <v>2402</v>
      </c>
      <c r="F251" s="10">
        <v>68093055.159999996</v>
      </c>
      <c r="G251" s="10">
        <v>15627356.16</v>
      </c>
      <c r="H251" s="11">
        <v>22.95</v>
      </c>
      <c r="I251" s="11">
        <v>13.86</v>
      </c>
      <c r="J251" s="10">
        <v>12276.82</v>
      </c>
      <c r="K251" s="10">
        <v>14378.51</v>
      </c>
      <c r="L251" s="10">
        <v>68068780.819999993</v>
      </c>
      <c r="M251" s="10">
        <v>68087906.790000007</v>
      </c>
      <c r="N251" s="10">
        <v>24274.34</v>
      </c>
      <c r="O251" s="10">
        <v>68077046.219999999</v>
      </c>
      <c r="P251" s="10">
        <v>68062758.370000005</v>
      </c>
      <c r="Q251" s="10">
        <v>14287.85</v>
      </c>
      <c r="R251" s="10">
        <v>9437697.4399999995</v>
      </c>
      <c r="S251" s="10">
        <v>6189658.71</v>
      </c>
      <c r="T251" s="10">
        <v>47803.839999999997</v>
      </c>
      <c r="U251" s="10">
        <v>47682.22</v>
      </c>
      <c r="V251" s="10">
        <v>2492.7199999999998</v>
      </c>
      <c r="W251" s="10">
        <v>5772.68</v>
      </c>
      <c r="X251" s="10">
        <v>1765.22</v>
      </c>
      <c r="Y251" s="9">
        <v>2982991</v>
      </c>
    </row>
    <row r="252" spans="1:25" ht="16.05" customHeight="1" x14ac:dyDescent="0.3">
      <c r="A252" s="2">
        <v>28</v>
      </c>
      <c r="B252" s="2">
        <v>1</v>
      </c>
      <c r="C252" s="2">
        <v>2022</v>
      </c>
      <c r="D252" s="3" t="s">
        <v>30</v>
      </c>
      <c r="E252" s="4">
        <v>1750</v>
      </c>
      <c r="F252" s="5">
        <v>47517491.640000001</v>
      </c>
      <c r="G252" s="5">
        <v>11290156.01</v>
      </c>
      <c r="H252" s="6">
        <v>23.76</v>
      </c>
      <c r="I252" s="6">
        <v>7.14</v>
      </c>
      <c r="J252" s="5">
        <v>8360.85</v>
      </c>
      <c r="K252" s="5">
        <v>12355.22</v>
      </c>
      <c r="L252" s="5">
        <v>47466354.340000004</v>
      </c>
      <c r="M252" s="5">
        <v>47513010.060000002</v>
      </c>
      <c r="N252" s="5">
        <v>51137.3</v>
      </c>
      <c r="O252" s="5">
        <v>47480944.969999999</v>
      </c>
      <c r="P252" s="5">
        <v>47478524.560000002</v>
      </c>
      <c r="Q252" s="5">
        <v>2420.41</v>
      </c>
      <c r="R252" s="5">
        <v>3392748.9</v>
      </c>
      <c r="S252" s="5">
        <v>7897407.1100000003</v>
      </c>
      <c r="T252" s="5">
        <v>108711.31</v>
      </c>
      <c r="U252" s="5">
        <v>8741.2900000000009</v>
      </c>
      <c r="V252" s="5">
        <v>8609.9500000000007</v>
      </c>
      <c r="W252" s="5">
        <v>5980.68</v>
      </c>
      <c r="X252" s="5">
        <v>4212.67</v>
      </c>
      <c r="Y252" s="4">
        <v>1193746</v>
      </c>
    </row>
    <row r="253" spans="1:25" ht="16.05" customHeight="1" x14ac:dyDescent="0.3">
      <c r="A253" s="7">
        <v>98</v>
      </c>
      <c r="B253" s="7">
        <v>2</v>
      </c>
      <c r="C253" s="7">
        <v>2022</v>
      </c>
      <c r="D253" s="8" t="s">
        <v>30</v>
      </c>
      <c r="E253" s="9">
        <v>2018</v>
      </c>
      <c r="F253" s="10">
        <v>102737810.40000001</v>
      </c>
      <c r="G253" s="10">
        <v>25869380.66</v>
      </c>
      <c r="H253" s="11">
        <v>25.18</v>
      </c>
      <c r="I253" s="11">
        <v>15.21</v>
      </c>
      <c r="J253" s="10">
        <v>11963.14</v>
      </c>
      <c r="K253" s="10">
        <v>6267.78</v>
      </c>
      <c r="L253" s="10">
        <v>102704527.90000001</v>
      </c>
      <c r="M253" s="10">
        <v>102713043.40000001</v>
      </c>
      <c r="N253" s="10">
        <v>33282.449999999997</v>
      </c>
      <c r="O253" s="10">
        <v>102714022.8</v>
      </c>
      <c r="P253" s="10">
        <v>102699784.2</v>
      </c>
      <c r="Q253" s="10">
        <v>14238.63</v>
      </c>
      <c r="R253" s="10">
        <v>15626420.960000001</v>
      </c>
      <c r="S253" s="10">
        <v>10242959.699999999</v>
      </c>
      <c r="T253" s="10">
        <v>84005.1</v>
      </c>
      <c r="U253" s="10">
        <v>15734.92</v>
      </c>
      <c r="V253" s="10">
        <v>3989.5</v>
      </c>
      <c r="W253" s="10">
        <v>5505.38</v>
      </c>
      <c r="X253" s="10">
        <v>2459.96</v>
      </c>
      <c r="Y253" s="9">
        <v>2404215</v>
      </c>
    </row>
    <row r="254" spans="1:25" ht="16.05" customHeight="1" x14ac:dyDescent="0.3">
      <c r="A254" s="2">
        <v>168</v>
      </c>
      <c r="B254" s="2">
        <v>3</v>
      </c>
      <c r="C254" s="2">
        <v>2022</v>
      </c>
      <c r="D254" s="3" t="s">
        <v>30</v>
      </c>
      <c r="E254" s="4">
        <v>1180</v>
      </c>
      <c r="F254" s="5">
        <v>67901525.060000002</v>
      </c>
      <c r="G254" s="5">
        <v>19277242.969999999</v>
      </c>
      <c r="H254" s="6">
        <v>28.39</v>
      </c>
      <c r="I254" s="6">
        <v>7.58</v>
      </c>
      <c r="J254" s="5">
        <v>12328.77</v>
      </c>
      <c r="K254" s="5">
        <v>14939.8</v>
      </c>
      <c r="L254" s="5">
        <v>67889344.629999995</v>
      </c>
      <c r="M254" s="5">
        <v>67896056.670000002</v>
      </c>
      <c r="N254" s="5">
        <v>12180.43</v>
      </c>
      <c r="O254" s="5">
        <v>67902163</v>
      </c>
      <c r="P254" s="5">
        <v>67894071.030000001</v>
      </c>
      <c r="Q254" s="5">
        <v>8091.97</v>
      </c>
      <c r="R254" s="5">
        <v>5146935.5999999996</v>
      </c>
      <c r="S254" s="5">
        <v>14130307.369999999</v>
      </c>
      <c r="T254" s="5">
        <v>50809.27</v>
      </c>
      <c r="U254" s="5">
        <v>30123.4</v>
      </c>
      <c r="V254" s="5">
        <v>9982.5300000000007</v>
      </c>
      <c r="W254" s="5">
        <v>2835.84</v>
      </c>
      <c r="X254" s="5">
        <v>2810.22</v>
      </c>
      <c r="Y254" s="4">
        <v>2755430</v>
      </c>
    </row>
    <row r="255" spans="1:25" ht="16.05" customHeight="1" x14ac:dyDescent="0.3">
      <c r="A255" s="7">
        <v>238</v>
      </c>
      <c r="B255" s="7">
        <v>4</v>
      </c>
      <c r="C255" s="7">
        <v>2022</v>
      </c>
      <c r="D255" s="8" t="s">
        <v>30</v>
      </c>
      <c r="E255" s="9">
        <v>5581</v>
      </c>
      <c r="F255" s="10">
        <v>344099345.5</v>
      </c>
      <c r="G255" s="10">
        <v>63211049.770000003</v>
      </c>
      <c r="H255" s="11">
        <v>18.37</v>
      </c>
      <c r="I255" s="11">
        <v>6.56</v>
      </c>
      <c r="J255" s="10">
        <v>10243.77</v>
      </c>
      <c r="K255" s="10">
        <v>8835.52</v>
      </c>
      <c r="L255" s="10">
        <v>344026757.19999999</v>
      </c>
      <c r="M255" s="10">
        <v>344080124.39999998</v>
      </c>
      <c r="N255" s="10">
        <v>72588.259999999995</v>
      </c>
      <c r="O255" s="10">
        <v>344043114.39999998</v>
      </c>
      <c r="P255" s="10">
        <v>344036883.80000001</v>
      </c>
      <c r="Q255" s="10">
        <v>6230.65</v>
      </c>
      <c r="R255" s="10">
        <v>22572917.059999999</v>
      </c>
      <c r="S255" s="10">
        <v>40638132.700000003</v>
      </c>
      <c r="T255" s="10">
        <v>79886.509999999995</v>
      </c>
      <c r="U255" s="10">
        <v>27636.560000000001</v>
      </c>
      <c r="V255" s="10">
        <v>9948.9500000000007</v>
      </c>
      <c r="W255" s="10">
        <v>6408.24</v>
      </c>
      <c r="X255" s="10">
        <v>3501.94</v>
      </c>
      <c r="Y255" s="9">
        <v>2156414</v>
      </c>
    </row>
    <row r="256" spans="1:25" ht="16.05" customHeight="1" x14ac:dyDescent="0.3">
      <c r="A256" s="2">
        <v>308</v>
      </c>
      <c r="B256" s="2">
        <v>5</v>
      </c>
      <c r="C256" s="2">
        <v>2022</v>
      </c>
      <c r="D256" s="3" t="s">
        <v>30</v>
      </c>
      <c r="E256" s="4">
        <v>5436</v>
      </c>
      <c r="F256" s="5">
        <v>252092402.19999999</v>
      </c>
      <c r="G256" s="5">
        <v>56846836.689999998</v>
      </c>
      <c r="H256" s="6">
        <v>22.55</v>
      </c>
      <c r="I256" s="6">
        <v>12.32</v>
      </c>
      <c r="J256" s="5">
        <v>12530.09</v>
      </c>
      <c r="K256" s="5">
        <v>12784.72</v>
      </c>
      <c r="L256" s="5">
        <v>252041971.59999999</v>
      </c>
      <c r="M256" s="5">
        <v>252074699</v>
      </c>
      <c r="N256" s="5">
        <v>50430.59</v>
      </c>
      <c r="O256" s="5">
        <v>252047435.09999999</v>
      </c>
      <c r="P256" s="5">
        <v>252046265.30000001</v>
      </c>
      <c r="Q256" s="5">
        <v>1169.74</v>
      </c>
      <c r="R256" s="5">
        <v>31057783.949999999</v>
      </c>
      <c r="S256" s="5">
        <v>25789052.739999998</v>
      </c>
      <c r="T256" s="5">
        <v>73370.97</v>
      </c>
      <c r="U256" s="5">
        <v>13028.46</v>
      </c>
      <c r="V256" s="5">
        <v>4461.58</v>
      </c>
      <c r="W256" s="5">
        <v>1001.9</v>
      </c>
      <c r="X256" s="5">
        <v>1504.58</v>
      </c>
      <c r="Y256" s="4">
        <v>2363472</v>
      </c>
    </row>
    <row r="257" spans="1:25" ht="16.05" customHeight="1" x14ac:dyDescent="0.3">
      <c r="A257" s="7">
        <v>378</v>
      </c>
      <c r="B257" s="7">
        <v>6</v>
      </c>
      <c r="C257" s="7">
        <v>2022</v>
      </c>
      <c r="D257" s="8" t="s">
        <v>30</v>
      </c>
      <c r="E257" s="9">
        <v>4689</v>
      </c>
      <c r="F257" s="10">
        <v>181661258.59999999</v>
      </c>
      <c r="G257" s="10">
        <v>38276027.200000003</v>
      </c>
      <c r="H257" s="11">
        <v>21.07</v>
      </c>
      <c r="I257" s="11">
        <v>6.42</v>
      </c>
      <c r="J257" s="10">
        <v>3910.24</v>
      </c>
      <c r="K257" s="10">
        <v>12826.43</v>
      </c>
      <c r="L257" s="10">
        <v>181650627.30000001</v>
      </c>
      <c r="M257" s="10">
        <v>181637424.09999999</v>
      </c>
      <c r="N257" s="10">
        <v>10631.36</v>
      </c>
      <c r="O257" s="10">
        <v>181660920.69999999</v>
      </c>
      <c r="P257" s="10">
        <v>181656544.30000001</v>
      </c>
      <c r="Q257" s="10">
        <v>4376.4399999999996</v>
      </c>
      <c r="R257" s="10">
        <v>11662652.810000001</v>
      </c>
      <c r="S257" s="10">
        <v>26613374.390000001</v>
      </c>
      <c r="T257" s="10">
        <v>70910.31</v>
      </c>
      <c r="U257" s="10">
        <v>38190.01</v>
      </c>
      <c r="V257" s="10">
        <v>4566.8500000000004</v>
      </c>
      <c r="W257" s="10">
        <v>5726.57</v>
      </c>
      <c r="X257" s="10">
        <v>4750.04</v>
      </c>
      <c r="Y257" s="9">
        <v>1985740</v>
      </c>
    </row>
    <row r="258" spans="1:25" ht="16.05" customHeight="1" x14ac:dyDescent="0.3">
      <c r="A258" s="2">
        <v>448</v>
      </c>
      <c r="B258" s="2">
        <v>7</v>
      </c>
      <c r="C258" s="2">
        <v>2022</v>
      </c>
      <c r="D258" s="3" t="s">
        <v>30</v>
      </c>
      <c r="E258" s="4">
        <v>5647</v>
      </c>
      <c r="F258" s="5">
        <v>284792274.80000001</v>
      </c>
      <c r="G258" s="5">
        <v>19508270.829999998</v>
      </c>
      <c r="H258" s="6">
        <v>6.85</v>
      </c>
      <c r="I258" s="6">
        <v>11.79</v>
      </c>
      <c r="J258" s="5">
        <v>13704.07</v>
      </c>
      <c r="K258" s="5">
        <v>17630.84</v>
      </c>
      <c r="L258" s="5">
        <v>284713481.80000001</v>
      </c>
      <c r="M258" s="5">
        <v>284772138.80000001</v>
      </c>
      <c r="N258" s="5">
        <v>78793.02</v>
      </c>
      <c r="O258" s="5">
        <v>284719825.10000002</v>
      </c>
      <c r="P258" s="5">
        <v>284709588.19999999</v>
      </c>
      <c r="Q258" s="5">
        <v>10236.950000000001</v>
      </c>
      <c r="R258" s="5">
        <v>33577009.200000003</v>
      </c>
      <c r="S258" s="5">
        <v>-14068738.380000001</v>
      </c>
      <c r="T258" s="5">
        <v>106157.49</v>
      </c>
      <c r="U258" s="5">
        <v>45050.28</v>
      </c>
      <c r="V258" s="5">
        <v>2722.32</v>
      </c>
      <c r="W258" s="5">
        <v>3620.98</v>
      </c>
      <c r="X258" s="5">
        <v>4404.97</v>
      </c>
      <c r="Y258" s="4">
        <v>4714106</v>
      </c>
    </row>
    <row r="259" spans="1:25" ht="16.05" customHeight="1" x14ac:dyDescent="0.3">
      <c r="A259" s="7">
        <v>518</v>
      </c>
      <c r="B259" s="7">
        <v>8</v>
      </c>
      <c r="C259" s="7">
        <v>2022</v>
      </c>
      <c r="D259" s="8" t="s">
        <v>30</v>
      </c>
      <c r="E259" s="9">
        <v>3463</v>
      </c>
      <c r="F259" s="10">
        <v>133926273.90000001</v>
      </c>
      <c r="G259" s="10">
        <v>9160557.1400000006</v>
      </c>
      <c r="H259" s="11">
        <v>6.84</v>
      </c>
      <c r="I259" s="11">
        <v>18.149999999999999</v>
      </c>
      <c r="J259" s="10">
        <v>13249.02</v>
      </c>
      <c r="K259" s="10">
        <v>2058.56</v>
      </c>
      <c r="L259" s="10">
        <v>133842079.2</v>
      </c>
      <c r="M259" s="10">
        <v>133903846.8</v>
      </c>
      <c r="N259" s="10">
        <v>84194.74</v>
      </c>
      <c r="O259" s="10">
        <v>133852255.8</v>
      </c>
      <c r="P259" s="10">
        <v>133842867.09999999</v>
      </c>
      <c r="Q259" s="10">
        <v>9388.68</v>
      </c>
      <c r="R259" s="10">
        <v>24307618.719999999</v>
      </c>
      <c r="S259" s="10">
        <v>-15147061.58</v>
      </c>
      <c r="T259" s="10">
        <v>22081.99</v>
      </c>
      <c r="U259" s="10">
        <v>23549.25</v>
      </c>
      <c r="V259" s="10">
        <v>4781.7299999999996</v>
      </c>
      <c r="W259" s="10">
        <v>5394.88</v>
      </c>
      <c r="X259" s="10">
        <v>3683.63</v>
      </c>
      <c r="Y259" s="9">
        <v>4331269</v>
      </c>
    </row>
    <row r="260" spans="1:25" ht="16.05" customHeight="1" x14ac:dyDescent="0.3">
      <c r="A260" s="2">
        <v>588</v>
      </c>
      <c r="B260" s="2">
        <v>9</v>
      </c>
      <c r="C260" s="2">
        <v>2022</v>
      </c>
      <c r="D260" s="3" t="s">
        <v>30</v>
      </c>
      <c r="E260" s="4">
        <v>3281</v>
      </c>
      <c r="F260" s="5">
        <v>203709280.19999999</v>
      </c>
      <c r="G260" s="5">
        <v>42636352.340000004</v>
      </c>
      <c r="H260" s="6">
        <v>20.93</v>
      </c>
      <c r="I260" s="6">
        <v>11.45</v>
      </c>
      <c r="J260" s="5">
        <v>2164.66</v>
      </c>
      <c r="K260" s="5">
        <v>14285.88</v>
      </c>
      <c r="L260" s="5">
        <v>203614619.59999999</v>
      </c>
      <c r="M260" s="5">
        <v>203701021.19999999</v>
      </c>
      <c r="N260" s="5">
        <v>94660.56</v>
      </c>
      <c r="O260" s="5">
        <v>203632430.09999999</v>
      </c>
      <c r="P260" s="5">
        <v>203617912</v>
      </c>
      <c r="Q260" s="5">
        <v>14518.12</v>
      </c>
      <c r="R260" s="5">
        <v>23324712.579999998</v>
      </c>
      <c r="S260" s="5">
        <v>19311639.760000002</v>
      </c>
      <c r="T260" s="5">
        <v>17331.27</v>
      </c>
      <c r="U260" s="5">
        <v>50016.79</v>
      </c>
      <c r="V260" s="5">
        <v>10649.16</v>
      </c>
      <c r="W260" s="5">
        <v>7161.36</v>
      </c>
      <c r="X260" s="5">
        <v>4544.53</v>
      </c>
      <c r="Y260" s="4">
        <v>1703815</v>
      </c>
    </row>
    <row r="261" spans="1:25" ht="16.05" customHeight="1" x14ac:dyDescent="0.3">
      <c r="A261" s="7">
        <v>658</v>
      </c>
      <c r="B261" s="7">
        <v>10</v>
      </c>
      <c r="C261" s="7">
        <v>2022</v>
      </c>
      <c r="D261" s="8" t="s">
        <v>30</v>
      </c>
      <c r="E261" s="9">
        <v>5948</v>
      </c>
      <c r="F261" s="10">
        <v>124204330.8</v>
      </c>
      <c r="G261" s="10">
        <v>20605498.469999999</v>
      </c>
      <c r="H261" s="11">
        <v>16.59</v>
      </c>
      <c r="I261" s="11">
        <v>9.7899999999999991</v>
      </c>
      <c r="J261" s="10">
        <v>7720.93</v>
      </c>
      <c r="K261" s="10">
        <v>2301.0700000000002</v>
      </c>
      <c r="L261" s="10">
        <v>124156845.90000001</v>
      </c>
      <c r="M261" s="10">
        <v>124190504.7</v>
      </c>
      <c r="N261" s="10">
        <v>47484.84</v>
      </c>
      <c r="O261" s="10">
        <v>124172077</v>
      </c>
      <c r="P261" s="10">
        <v>124165637.3</v>
      </c>
      <c r="Q261" s="10">
        <v>6439.67</v>
      </c>
      <c r="R261" s="10">
        <v>12159603.98</v>
      </c>
      <c r="S261" s="10">
        <v>8445894.4900000002</v>
      </c>
      <c r="T261" s="10">
        <v>31594.68</v>
      </c>
      <c r="U261" s="10">
        <v>16929.25</v>
      </c>
      <c r="V261" s="10">
        <v>7422.09</v>
      </c>
      <c r="W261" s="10">
        <v>7809</v>
      </c>
      <c r="X261" s="10">
        <v>1941.41</v>
      </c>
      <c r="Y261" s="9">
        <v>3514567</v>
      </c>
    </row>
    <row r="262" spans="1:25" ht="16.05" customHeight="1" x14ac:dyDescent="0.3">
      <c r="A262" s="2">
        <v>728</v>
      </c>
      <c r="B262" s="2">
        <v>11</v>
      </c>
      <c r="C262" s="2">
        <v>2022</v>
      </c>
      <c r="D262" s="3" t="s">
        <v>30</v>
      </c>
      <c r="E262" s="4">
        <v>195</v>
      </c>
      <c r="F262" s="5">
        <v>12824974.960000001</v>
      </c>
      <c r="G262" s="5">
        <v>733588.57</v>
      </c>
      <c r="H262" s="6">
        <v>5.72</v>
      </c>
      <c r="I262" s="6">
        <v>13.8</v>
      </c>
      <c r="J262" s="5">
        <v>12142.7</v>
      </c>
      <c r="K262" s="5">
        <v>10037.94</v>
      </c>
      <c r="L262" s="5">
        <v>12814270.1</v>
      </c>
      <c r="M262" s="5">
        <v>12817614.710000001</v>
      </c>
      <c r="N262" s="5">
        <v>10704.86</v>
      </c>
      <c r="O262" s="5">
        <v>12823595.970000001</v>
      </c>
      <c r="P262" s="5">
        <v>12817698.300000001</v>
      </c>
      <c r="Q262" s="5">
        <v>5897.67</v>
      </c>
      <c r="R262" s="5">
        <v>1769846.54</v>
      </c>
      <c r="S262" s="5">
        <v>-1036257.98</v>
      </c>
      <c r="T262" s="5">
        <v>75507.679999999993</v>
      </c>
      <c r="U262" s="5">
        <v>6737</v>
      </c>
      <c r="V262" s="5">
        <v>2607.48</v>
      </c>
      <c r="W262" s="5">
        <v>6718.39</v>
      </c>
      <c r="X262" s="5">
        <v>4489.2299999999996</v>
      </c>
      <c r="Y262" s="4">
        <v>4623964</v>
      </c>
    </row>
    <row r="263" spans="1:25" ht="16.05" customHeight="1" x14ac:dyDescent="0.3">
      <c r="A263" s="7">
        <v>798</v>
      </c>
      <c r="B263" s="7">
        <v>12</v>
      </c>
      <c r="C263" s="7">
        <v>2022</v>
      </c>
      <c r="D263" s="8" t="s">
        <v>30</v>
      </c>
      <c r="E263" s="9">
        <v>2351</v>
      </c>
      <c r="F263" s="10">
        <v>132965112.7</v>
      </c>
      <c r="G263" s="10">
        <v>18787970.420000002</v>
      </c>
      <c r="H263" s="11">
        <v>14.13</v>
      </c>
      <c r="I263" s="11">
        <v>7.47</v>
      </c>
      <c r="J263" s="10">
        <v>10929.44</v>
      </c>
      <c r="K263" s="10">
        <v>5220.8100000000004</v>
      </c>
      <c r="L263" s="10">
        <v>132876491.59999999</v>
      </c>
      <c r="M263" s="10">
        <v>132947645.59999999</v>
      </c>
      <c r="N263" s="10">
        <v>88621.04</v>
      </c>
      <c r="O263" s="10">
        <v>132890843.40000001</v>
      </c>
      <c r="P263" s="10">
        <v>132881630</v>
      </c>
      <c r="Q263" s="10">
        <v>9213.32</v>
      </c>
      <c r="R263" s="10">
        <v>9932493.9100000001</v>
      </c>
      <c r="S263" s="10">
        <v>8855476.5</v>
      </c>
      <c r="T263" s="10">
        <v>54045.26</v>
      </c>
      <c r="U263" s="10">
        <v>55598.57</v>
      </c>
      <c r="V263" s="10">
        <v>10004.780000000001</v>
      </c>
      <c r="W263" s="10">
        <v>4346.96</v>
      </c>
      <c r="X263" s="10">
        <v>3010.78</v>
      </c>
      <c r="Y263" s="9">
        <v>2793303</v>
      </c>
    </row>
    <row r="264" spans="1:25" ht="16.05" customHeight="1" x14ac:dyDescent="0.3">
      <c r="A264" s="2">
        <v>868</v>
      </c>
      <c r="B264" s="2">
        <v>13</v>
      </c>
      <c r="C264" s="2">
        <v>2022</v>
      </c>
      <c r="D264" s="3" t="s">
        <v>30</v>
      </c>
      <c r="E264" s="4">
        <v>4345</v>
      </c>
      <c r="F264" s="5">
        <v>32689279.550000001</v>
      </c>
      <c r="G264" s="5">
        <v>2007121.76</v>
      </c>
      <c r="H264" s="6">
        <v>6.14</v>
      </c>
      <c r="I264" s="6">
        <v>18.25</v>
      </c>
      <c r="J264" s="5">
        <v>2968.39</v>
      </c>
      <c r="K264" s="5">
        <v>10554.65</v>
      </c>
      <c r="L264" s="5">
        <v>32598997.879999999</v>
      </c>
      <c r="M264" s="5">
        <v>32669224.829999998</v>
      </c>
      <c r="N264" s="5">
        <v>90281.67</v>
      </c>
      <c r="O264" s="5">
        <v>32614569.699999999</v>
      </c>
      <c r="P264" s="5">
        <v>32611801.100000001</v>
      </c>
      <c r="Q264" s="5">
        <v>2768.6</v>
      </c>
      <c r="R264" s="5">
        <v>5965793.5199999996</v>
      </c>
      <c r="S264" s="5">
        <v>-3958671.75</v>
      </c>
      <c r="T264" s="5">
        <v>56254.66</v>
      </c>
      <c r="U264" s="5">
        <v>48822.31</v>
      </c>
      <c r="V264" s="5">
        <v>10174.629999999999</v>
      </c>
      <c r="W264" s="5">
        <v>5397.19</v>
      </c>
      <c r="X264" s="5">
        <v>1079.3499999999999</v>
      </c>
      <c r="Y264" s="4">
        <v>1615027</v>
      </c>
    </row>
    <row r="265" spans="1:25" ht="16.05" customHeight="1" x14ac:dyDescent="0.3">
      <c r="A265" s="7">
        <v>938</v>
      </c>
      <c r="B265" s="7">
        <v>14</v>
      </c>
      <c r="C265" s="7">
        <v>2022</v>
      </c>
      <c r="D265" s="8" t="s">
        <v>30</v>
      </c>
      <c r="E265" s="9">
        <v>327</v>
      </c>
      <c r="F265" s="10">
        <v>20501327.969999999</v>
      </c>
      <c r="G265" s="10">
        <v>3788645.41</v>
      </c>
      <c r="H265" s="11">
        <v>18.48</v>
      </c>
      <c r="I265" s="11">
        <v>15.53</v>
      </c>
      <c r="J265" s="10">
        <v>14906</v>
      </c>
      <c r="K265" s="10">
        <v>5371.14</v>
      </c>
      <c r="L265" s="10">
        <v>20430315.739999998</v>
      </c>
      <c r="M265" s="10">
        <v>20482802.170000002</v>
      </c>
      <c r="N265" s="10">
        <v>71012.23</v>
      </c>
      <c r="O265" s="10">
        <v>20446534.100000001</v>
      </c>
      <c r="P265" s="10">
        <v>20432502.140000001</v>
      </c>
      <c r="Q265" s="10">
        <v>14031.96</v>
      </c>
      <c r="R265" s="10">
        <v>3183856.23</v>
      </c>
      <c r="S265" s="10">
        <v>604789.18000000005</v>
      </c>
      <c r="T265" s="10">
        <v>70746.47</v>
      </c>
      <c r="U265" s="10">
        <v>17996.21</v>
      </c>
      <c r="V265" s="10">
        <v>9848.15</v>
      </c>
      <c r="W265" s="10">
        <v>6370.21</v>
      </c>
      <c r="X265" s="10">
        <v>2464.2399999999998</v>
      </c>
      <c r="Y265" s="9">
        <v>4677652</v>
      </c>
    </row>
    <row r="266" spans="1:25" ht="16.05" customHeight="1" x14ac:dyDescent="0.3">
      <c r="A266" s="2">
        <v>1008</v>
      </c>
      <c r="B266" s="2">
        <v>15</v>
      </c>
      <c r="C266" s="2">
        <v>2022</v>
      </c>
      <c r="D266" s="3" t="s">
        <v>30</v>
      </c>
      <c r="E266" s="4">
        <v>6491</v>
      </c>
      <c r="F266" s="5">
        <v>193691032.69999999</v>
      </c>
      <c r="G266" s="5">
        <v>43425529.530000001</v>
      </c>
      <c r="H266" s="6">
        <v>22.42</v>
      </c>
      <c r="I266" s="6">
        <v>15.37</v>
      </c>
      <c r="J266" s="5">
        <v>1607.57</v>
      </c>
      <c r="K266" s="5">
        <v>4213.3999999999996</v>
      </c>
      <c r="L266" s="5">
        <v>193595897.59999999</v>
      </c>
      <c r="M266" s="5">
        <v>193670271.19999999</v>
      </c>
      <c r="N266" s="5">
        <v>95135.15</v>
      </c>
      <c r="O266" s="5">
        <v>193607125.19999999</v>
      </c>
      <c r="P266" s="5">
        <v>193600514.40000001</v>
      </c>
      <c r="Q266" s="5">
        <v>6610.82</v>
      </c>
      <c r="R266" s="5">
        <v>29770311.73</v>
      </c>
      <c r="S266" s="5">
        <v>13655217.810000001</v>
      </c>
      <c r="T266" s="5">
        <v>68804.7</v>
      </c>
      <c r="U266" s="5">
        <v>53008.67</v>
      </c>
      <c r="V266" s="5">
        <v>3516.62</v>
      </c>
      <c r="W266" s="5">
        <v>7711.03</v>
      </c>
      <c r="X266" s="5">
        <v>4377.38</v>
      </c>
      <c r="Y266" s="4">
        <v>1884705</v>
      </c>
    </row>
    <row r="267" spans="1:25" ht="16.05" customHeight="1" x14ac:dyDescent="0.3">
      <c r="A267" s="7">
        <v>1078</v>
      </c>
      <c r="B267" s="7">
        <v>16</v>
      </c>
      <c r="C267" s="7">
        <v>2022</v>
      </c>
      <c r="D267" s="8" t="s">
        <v>30</v>
      </c>
      <c r="E267" s="9">
        <v>1054</v>
      </c>
      <c r="F267" s="10">
        <v>25946889.449999999</v>
      </c>
      <c r="G267" s="10">
        <v>1385563.9</v>
      </c>
      <c r="H267" s="11">
        <v>5.34</v>
      </c>
      <c r="I267" s="11">
        <v>13.92</v>
      </c>
      <c r="J267" s="10">
        <v>5064.6000000000004</v>
      </c>
      <c r="K267" s="10">
        <v>3313.93</v>
      </c>
      <c r="L267" s="10">
        <v>25851485.239999998</v>
      </c>
      <c r="M267" s="10">
        <v>25931854.68</v>
      </c>
      <c r="N267" s="10">
        <v>95404.21</v>
      </c>
      <c r="O267" s="10">
        <v>25865153.449999999</v>
      </c>
      <c r="P267" s="10">
        <v>25863927.07</v>
      </c>
      <c r="Q267" s="10">
        <v>1226.3800000000001</v>
      </c>
      <c r="R267" s="10">
        <v>3611807.01</v>
      </c>
      <c r="S267" s="10">
        <v>-2226243.12</v>
      </c>
      <c r="T267" s="10">
        <v>97846.23</v>
      </c>
      <c r="U267" s="10">
        <v>53808.46</v>
      </c>
      <c r="V267" s="10">
        <v>9210.9</v>
      </c>
      <c r="W267" s="10">
        <v>4457.3100000000004</v>
      </c>
      <c r="X267" s="10">
        <v>3421.38</v>
      </c>
      <c r="Y267" s="9">
        <v>3801862</v>
      </c>
    </row>
    <row r="268" spans="1:25" ht="16.05" customHeight="1" x14ac:dyDescent="0.3">
      <c r="A268" s="2">
        <v>1148</v>
      </c>
      <c r="B268" s="2">
        <v>17</v>
      </c>
      <c r="C268" s="2">
        <v>2022</v>
      </c>
      <c r="D268" s="3" t="s">
        <v>30</v>
      </c>
      <c r="E268" s="4">
        <v>6189</v>
      </c>
      <c r="F268" s="5">
        <v>305513614</v>
      </c>
      <c r="G268" s="5">
        <v>40969375.640000001</v>
      </c>
      <c r="H268" s="6">
        <v>13.41</v>
      </c>
      <c r="I268" s="6">
        <v>13.97</v>
      </c>
      <c r="J268" s="5">
        <v>1079.69</v>
      </c>
      <c r="K268" s="5">
        <v>9655.26</v>
      </c>
      <c r="L268" s="5">
        <v>305443725</v>
      </c>
      <c r="M268" s="5">
        <v>305501028.60000002</v>
      </c>
      <c r="N268" s="5">
        <v>69889.070000000007</v>
      </c>
      <c r="O268" s="5">
        <v>305455530.89999998</v>
      </c>
      <c r="P268" s="5">
        <v>305442491.19999999</v>
      </c>
      <c r="Q268" s="5">
        <v>13039.72</v>
      </c>
      <c r="R268" s="5">
        <v>42680251.880000003</v>
      </c>
      <c r="S268" s="5">
        <v>-1710876.24</v>
      </c>
      <c r="T268" s="5">
        <v>52555.71</v>
      </c>
      <c r="U268" s="5">
        <v>58348.88</v>
      </c>
      <c r="V268" s="5">
        <v>10757.18</v>
      </c>
      <c r="W268" s="5">
        <v>1048.73</v>
      </c>
      <c r="X268" s="5">
        <v>2351.2199999999998</v>
      </c>
      <c r="Y268" s="4">
        <v>2527290</v>
      </c>
    </row>
    <row r="269" spans="1:25" ht="16.05" customHeight="1" x14ac:dyDescent="0.3">
      <c r="A269" s="7">
        <v>1218</v>
      </c>
      <c r="B269" s="7">
        <v>18</v>
      </c>
      <c r="C269" s="7">
        <v>2022</v>
      </c>
      <c r="D269" s="8" t="s">
        <v>30</v>
      </c>
      <c r="E269" s="9">
        <v>3733</v>
      </c>
      <c r="F269" s="10">
        <v>101118162.2</v>
      </c>
      <c r="G269" s="10">
        <v>20951683.210000001</v>
      </c>
      <c r="H269" s="11">
        <v>20.72</v>
      </c>
      <c r="I269" s="11">
        <v>7.67</v>
      </c>
      <c r="J269" s="10">
        <v>6382.69</v>
      </c>
      <c r="K269" s="10">
        <v>15535.93</v>
      </c>
      <c r="L269" s="10">
        <v>101027765.90000001</v>
      </c>
      <c r="M269" s="10">
        <v>101111632.2</v>
      </c>
      <c r="N269" s="10">
        <v>90396.28</v>
      </c>
      <c r="O269" s="10">
        <v>101042197</v>
      </c>
      <c r="P269" s="10">
        <v>101033296.40000001</v>
      </c>
      <c r="Q269" s="10">
        <v>8900.52</v>
      </c>
      <c r="R269" s="10">
        <v>7755763.04</v>
      </c>
      <c r="S269" s="10">
        <v>13195920.17</v>
      </c>
      <c r="T269" s="10">
        <v>25991.77</v>
      </c>
      <c r="U269" s="10">
        <v>25201.3</v>
      </c>
      <c r="V269" s="10">
        <v>9705.66</v>
      </c>
      <c r="W269" s="10">
        <v>4725.3599999999997</v>
      </c>
      <c r="X269" s="10">
        <v>1310.56</v>
      </c>
      <c r="Y269" s="9">
        <v>3522114</v>
      </c>
    </row>
    <row r="270" spans="1:25" ht="16.05" customHeight="1" x14ac:dyDescent="0.3">
      <c r="A270" s="2">
        <v>1288</v>
      </c>
      <c r="B270" s="2">
        <v>19</v>
      </c>
      <c r="C270" s="2">
        <v>2022</v>
      </c>
      <c r="D270" s="3" t="s">
        <v>30</v>
      </c>
      <c r="E270" s="4">
        <v>6059</v>
      </c>
      <c r="F270" s="5">
        <v>169478792.69999999</v>
      </c>
      <c r="G270" s="5">
        <v>14710759.199999999</v>
      </c>
      <c r="H270" s="6">
        <v>8.68</v>
      </c>
      <c r="I270" s="6">
        <v>19.850000000000001</v>
      </c>
      <c r="J270" s="5">
        <v>6409.49</v>
      </c>
      <c r="K270" s="5">
        <v>6220.99</v>
      </c>
      <c r="L270" s="5">
        <v>169414185.30000001</v>
      </c>
      <c r="M270" s="5">
        <v>169455190.30000001</v>
      </c>
      <c r="N270" s="5">
        <v>64607.4</v>
      </c>
      <c r="O270" s="5">
        <v>169424175.30000001</v>
      </c>
      <c r="P270" s="5">
        <v>169417442.59999999</v>
      </c>
      <c r="Q270" s="5">
        <v>6732.71</v>
      </c>
      <c r="R270" s="5">
        <v>33641540.340000004</v>
      </c>
      <c r="S270" s="5">
        <v>-18930781.140000001</v>
      </c>
      <c r="T270" s="5">
        <v>19003.46</v>
      </c>
      <c r="U270" s="5">
        <v>22081.69</v>
      </c>
      <c r="V270" s="5">
        <v>8906.24</v>
      </c>
      <c r="W270" s="5">
        <v>1083.8399999999999</v>
      </c>
      <c r="X270" s="5">
        <v>2914.98</v>
      </c>
      <c r="Y270" s="4">
        <v>4741891</v>
      </c>
    </row>
    <row r="271" spans="1:25" ht="16.05" customHeight="1" x14ac:dyDescent="0.3">
      <c r="A271" s="7">
        <v>1358</v>
      </c>
      <c r="B271" s="7">
        <v>20</v>
      </c>
      <c r="C271" s="7">
        <v>2022</v>
      </c>
      <c r="D271" s="8" t="s">
        <v>30</v>
      </c>
      <c r="E271" s="9">
        <v>2300</v>
      </c>
      <c r="F271" s="10">
        <v>120226938</v>
      </c>
      <c r="G271" s="10">
        <v>25199566.210000001</v>
      </c>
      <c r="H271" s="11">
        <v>20.96</v>
      </c>
      <c r="I271" s="11">
        <v>15.61</v>
      </c>
      <c r="J271" s="10">
        <v>1699.76</v>
      </c>
      <c r="K271" s="10">
        <v>5338.48</v>
      </c>
      <c r="L271" s="10">
        <v>120133699.2</v>
      </c>
      <c r="M271" s="10">
        <v>120205551.40000001</v>
      </c>
      <c r="N271" s="10">
        <v>93238.8</v>
      </c>
      <c r="O271" s="10">
        <v>120139576.7</v>
      </c>
      <c r="P271" s="10">
        <v>120126394.8</v>
      </c>
      <c r="Q271" s="10">
        <v>13181.9</v>
      </c>
      <c r="R271" s="10">
        <v>18767425.030000001</v>
      </c>
      <c r="S271" s="10">
        <v>6432141.1799999997</v>
      </c>
      <c r="T271" s="10">
        <v>81282.070000000007</v>
      </c>
      <c r="U271" s="10">
        <v>28890.880000000001</v>
      </c>
      <c r="V271" s="10">
        <v>4992.8900000000003</v>
      </c>
      <c r="W271" s="10">
        <v>884.54</v>
      </c>
      <c r="X271" s="10">
        <v>1483.58</v>
      </c>
      <c r="Y271" s="9">
        <v>1503738</v>
      </c>
    </row>
    <row r="272" spans="1:25" ht="16.05" customHeight="1" x14ac:dyDescent="0.3">
      <c r="A272" s="2">
        <v>1428</v>
      </c>
      <c r="B272" s="2">
        <v>21</v>
      </c>
      <c r="C272" s="2">
        <v>2022</v>
      </c>
      <c r="D272" s="3" t="s">
        <v>30</v>
      </c>
      <c r="E272" s="4">
        <v>221</v>
      </c>
      <c r="F272" s="5">
        <v>7986412.3300000001</v>
      </c>
      <c r="G272" s="5">
        <v>2150740.84</v>
      </c>
      <c r="H272" s="6">
        <v>26.93</v>
      </c>
      <c r="I272" s="6">
        <v>16.86</v>
      </c>
      <c r="J272" s="5">
        <v>6582.2</v>
      </c>
      <c r="K272" s="5">
        <v>11729.01</v>
      </c>
      <c r="L272" s="5">
        <v>7896429.7999999998</v>
      </c>
      <c r="M272" s="5">
        <v>7978006.5499999998</v>
      </c>
      <c r="N272" s="5">
        <v>89982.53</v>
      </c>
      <c r="O272" s="5">
        <v>7903967.9699999997</v>
      </c>
      <c r="P272" s="5">
        <v>7894387.29</v>
      </c>
      <c r="Q272" s="5">
        <v>9580.68</v>
      </c>
      <c r="R272" s="5">
        <v>1346509.12</v>
      </c>
      <c r="S272" s="5">
        <v>804231.72</v>
      </c>
      <c r="T272" s="5">
        <v>102136.52</v>
      </c>
      <c r="U272" s="5">
        <v>57337.39</v>
      </c>
      <c r="V272" s="5">
        <v>6654.98</v>
      </c>
      <c r="W272" s="5">
        <v>883.19</v>
      </c>
      <c r="X272" s="5">
        <v>4340.37</v>
      </c>
      <c r="Y272" s="4">
        <v>2527238</v>
      </c>
    </row>
    <row r="273" spans="1:25" ht="16.05" customHeight="1" x14ac:dyDescent="0.3">
      <c r="A273" s="7">
        <v>1498</v>
      </c>
      <c r="B273" s="7">
        <v>22</v>
      </c>
      <c r="C273" s="7">
        <v>2022</v>
      </c>
      <c r="D273" s="8" t="s">
        <v>30</v>
      </c>
      <c r="E273" s="9">
        <v>4342</v>
      </c>
      <c r="F273" s="10">
        <v>176934906.59999999</v>
      </c>
      <c r="G273" s="10">
        <v>24806273.91</v>
      </c>
      <c r="H273" s="11">
        <v>14.02</v>
      </c>
      <c r="I273" s="11">
        <v>13.13</v>
      </c>
      <c r="J273" s="10">
        <v>11780.94</v>
      </c>
      <c r="K273" s="10">
        <v>12788.44</v>
      </c>
      <c r="L273" s="10">
        <v>176859861.59999999</v>
      </c>
      <c r="M273" s="10">
        <v>176927850.59999999</v>
      </c>
      <c r="N273" s="10">
        <v>75045.06</v>
      </c>
      <c r="O273" s="10">
        <v>176873273.69999999</v>
      </c>
      <c r="P273" s="10">
        <v>176870086.40000001</v>
      </c>
      <c r="Q273" s="10">
        <v>3187.28</v>
      </c>
      <c r="R273" s="10">
        <v>23231553.239999998</v>
      </c>
      <c r="S273" s="10">
        <v>1574720.67</v>
      </c>
      <c r="T273" s="10">
        <v>68814.350000000006</v>
      </c>
      <c r="U273" s="10">
        <v>17471.38</v>
      </c>
      <c r="V273" s="10">
        <v>8675.7999999999993</v>
      </c>
      <c r="W273" s="10">
        <v>4736.3100000000004</v>
      </c>
      <c r="X273" s="10">
        <v>3778.53</v>
      </c>
      <c r="Y273" s="9">
        <v>3463653</v>
      </c>
    </row>
    <row r="274" spans="1:25" ht="16.05" customHeight="1" x14ac:dyDescent="0.3">
      <c r="A274" s="2">
        <v>1568</v>
      </c>
      <c r="B274" s="2">
        <v>23</v>
      </c>
      <c r="C274" s="2">
        <v>2022</v>
      </c>
      <c r="D274" s="3" t="s">
        <v>30</v>
      </c>
      <c r="E274" s="4">
        <v>5191</v>
      </c>
      <c r="F274" s="5">
        <v>357090113.39999998</v>
      </c>
      <c r="G274" s="5">
        <v>21818205.93</v>
      </c>
      <c r="H274" s="6">
        <v>6.11</v>
      </c>
      <c r="I274" s="6">
        <v>16.68</v>
      </c>
      <c r="J274" s="5">
        <v>2602.44</v>
      </c>
      <c r="K274" s="5">
        <v>8205.42</v>
      </c>
      <c r="L274" s="5">
        <v>357039794.80000001</v>
      </c>
      <c r="M274" s="5">
        <v>357082229.89999998</v>
      </c>
      <c r="N274" s="5">
        <v>50318.68</v>
      </c>
      <c r="O274" s="5">
        <v>357044194.30000001</v>
      </c>
      <c r="P274" s="5">
        <v>357031625.60000002</v>
      </c>
      <c r="Q274" s="5">
        <v>12568.76</v>
      </c>
      <c r="R274" s="5">
        <v>59562630.920000002</v>
      </c>
      <c r="S274" s="5">
        <v>-37744424.990000002</v>
      </c>
      <c r="T274" s="5">
        <v>26613.67</v>
      </c>
      <c r="U274" s="5">
        <v>20825.740000000002</v>
      </c>
      <c r="V274" s="5">
        <v>1616.67</v>
      </c>
      <c r="W274" s="5">
        <v>2782.9</v>
      </c>
      <c r="X274" s="5">
        <v>3337.58</v>
      </c>
      <c r="Y274" s="4">
        <v>3836424</v>
      </c>
    </row>
    <row r="275" spans="1:25" ht="16.05" customHeight="1" x14ac:dyDescent="0.3">
      <c r="A275" s="7">
        <v>1638</v>
      </c>
      <c r="B275" s="7">
        <v>24</v>
      </c>
      <c r="C275" s="7">
        <v>2022</v>
      </c>
      <c r="D275" s="8" t="s">
        <v>30</v>
      </c>
      <c r="E275" s="9">
        <v>4974</v>
      </c>
      <c r="F275" s="10">
        <v>160356297.40000001</v>
      </c>
      <c r="G275" s="10">
        <v>15538525.210000001</v>
      </c>
      <c r="H275" s="11">
        <v>9.69</v>
      </c>
      <c r="I275" s="11">
        <v>9.3699999999999992</v>
      </c>
      <c r="J275" s="10">
        <v>1997.04</v>
      </c>
      <c r="K275" s="10">
        <v>11377.89</v>
      </c>
      <c r="L275" s="10">
        <v>160263882.19999999</v>
      </c>
      <c r="M275" s="10">
        <v>160341014</v>
      </c>
      <c r="N275" s="10">
        <v>92415.16</v>
      </c>
      <c r="O275" s="10">
        <v>160276987.80000001</v>
      </c>
      <c r="P275" s="10">
        <v>160275358.30000001</v>
      </c>
      <c r="Q275" s="10">
        <v>1629.51</v>
      </c>
      <c r="R275" s="10">
        <v>15025385.060000001</v>
      </c>
      <c r="S275" s="10">
        <v>513140.15</v>
      </c>
      <c r="T275" s="10">
        <v>82953.03</v>
      </c>
      <c r="U275" s="10">
        <v>37884.89</v>
      </c>
      <c r="V275" s="10">
        <v>7981.17</v>
      </c>
      <c r="W275" s="10">
        <v>5124.4399999999996</v>
      </c>
      <c r="X275" s="10">
        <v>2258.6799999999998</v>
      </c>
      <c r="Y275" s="9">
        <v>3837651</v>
      </c>
    </row>
    <row r="276" spans="1:25" ht="16.05" customHeight="1" x14ac:dyDescent="0.3">
      <c r="A276" s="2">
        <v>1708</v>
      </c>
      <c r="B276" s="2">
        <v>25</v>
      </c>
      <c r="C276" s="2">
        <v>2022</v>
      </c>
      <c r="D276" s="3" t="s">
        <v>30</v>
      </c>
      <c r="E276" s="4">
        <v>2767</v>
      </c>
      <c r="F276" s="5">
        <v>97064468.319999993</v>
      </c>
      <c r="G276" s="5">
        <v>20140877.18</v>
      </c>
      <c r="H276" s="6">
        <v>20.75</v>
      </c>
      <c r="I276" s="6">
        <v>13.48</v>
      </c>
      <c r="J276" s="5">
        <v>3402.14</v>
      </c>
      <c r="K276" s="5">
        <v>8427.5499999999993</v>
      </c>
      <c r="L276" s="5">
        <v>97051031.459999993</v>
      </c>
      <c r="M276" s="5">
        <v>97049983.760000005</v>
      </c>
      <c r="N276" s="5">
        <v>13436.86</v>
      </c>
      <c r="O276" s="5">
        <v>97059081.019999996</v>
      </c>
      <c r="P276" s="5">
        <v>97055849.180000007</v>
      </c>
      <c r="Q276" s="5">
        <v>3231.84</v>
      </c>
      <c r="R276" s="5">
        <v>13084290.33</v>
      </c>
      <c r="S276" s="5">
        <v>7056586.8499999996</v>
      </c>
      <c r="T276" s="5">
        <v>77013.820000000007</v>
      </c>
      <c r="U276" s="5">
        <v>16465.71</v>
      </c>
      <c r="V276" s="5">
        <v>2671.78</v>
      </c>
      <c r="W276" s="5">
        <v>5377.78</v>
      </c>
      <c r="X276" s="5">
        <v>2913.99</v>
      </c>
      <c r="Y276" s="4">
        <v>2581327</v>
      </c>
    </row>
    <row r="277" spans="1:25" ht="16.05" customHeight="1" x14ac:dyDescent="0.3">
      <c r="A277" s="7">
        <v>1778</v>
      </c>
      <c r="B277" s="7">
        <v>26</v>
      </c>
      <c r="C277" s="7">
        <v>2022</v>
      </c>
      <c r="D277" s="8" t="s">
        <v>30</v>
      </c>
      <c r="E277" s="9">
        <v>1173</v>
      </c>
      <c r="F277" s="10">
        <v>19969798.600000001</v>
      </c>
      <c r="G277" s="10">
        <v>1543665.43</v>
      </c>
      <c r="H277" s="11">
        <v>7.73</v>
      </c>
      <c r="I277" s="11">
        <v>5.88</v>
      </c>
      <c r="J277" s="10">
        <v>2844.07</v>
      </c>
      <c r="K277" s="10">
        <v>5982.73</v>
      </c>
      <c r="L277" s="10">
        <v>19871674.84</v>
      </c>
      <c r="M277" s="10">
        <v>19950809.66</v>
      </c>
      <c r="N277" s="10">
        <v>98123.76</v>
      </c>
      <c r="O277" s="10">
        <v>19877542.850000001</v>
      </c>
      <c r="P277" s="10">
        <v>19867413.530000001</v>
      </c>
      <c r="Q277" s="10">
        <v>10129.32</v>
      </c>
      <c r="R277" s="10">
        <v>1174224.1599999999</v>
      </c>
      <c r="S277" s="10">
        <v>369441.27</v>
      </c>
      <c r="T277" s="10">
        <v>107182.03</v>
      </c>
      <c r="U277" s="10">
        <v>39847.449999999997</v>
      </c>
      <c r="V277" s="10">
        <v>1832.06</v>
      </c>
      <c r="W277" s="10">
        <v>4035.95</v>
      </c>
      <c r="X277" s="10">
        <v>4679.7299999999996</v>
      </c>
      <c r="Y277" s="9">
        <v>1572013</v>
      </c>
    </row>
    <row r="278" spans="1:25" ht="16.05" customHeight="1" x14ac:dyDescent="0.3">
      <c r="A278" s="2">
        <v>1848</v>
      </c>
      <c r="B278" s="2">
        <v>27</v>
      </c>
      <c r="C278" s="2">
        <v>2022</v>
      </c>
      <c r="D278" s="3" t="s">
        <v>30</v>
      </c>
      <c r="E278" s="4">
        <v>3196</v>
      </c>
      <c r="F278" s="5">
        <v>166737273.59999999</v>
      </c>
      <c r="G278" s="5">
        <v>44969042.68</v>
      </c>
      <c r="H278" s="6">
        <v>26.97</v>
      </c>
      <c r="I278" s="6">
        <v>7.95</v>
      </c>
      <c r="J278" s="5">
        <v>13121.66</v>
      </c>
      <c r="K278" s="5">
        <v>15901.91</v>
      </c>
      <c r="L278" s="5">
        <v>166692381.69999999</v>
      </c>
      <c r="M278" s="5">
        <v>166727596</v>
      </c>
      <c r="N278" s="5">
        <v>44891.87</v>
      </c>
      <c r="O278" s="5">
        <v>166703502.19999999</v>
      </c>
      <c r="P278" s="5">
        <v>166699096.5</v>
      </c>
      <c r="Q278" s="5">
        <v>4405.7</v>
      </c>
      <c r="R278" s="5">
        <v>13255613.25</v>
      </c>
      <c r="S278" s="5">
        <v>31713429.43</v>
      </c>
      <c r="T278" s="5">
        <v>15803.49</v>
      </c>
      <c r="U278" s="5">
        <v>8538.5300000000007</v>
      </c>
      <c r="V278" s="5">
        <v>10145.89</v>
      </c>
      <c r="W278" s="5">
        <v>974.57</v>
      </c>
      <c r="X278" s="5">
        <v>3123.2</v>
      </c>
      <c r="Y278" s="4">
        <v>1481093</v>
      </c>
    </row>
    <row r="279" spans="1:25" ht="16.05" customHeight="1" x14ac:dyDescent="0.3">
      <c r="A279" s="7">
        <v>1918</v>
      </c>
      <c r="B279" s="7">
        <v>28</v>
      </c>
      <c r="C279" s="7">
        <v>2022</v>
      </c>
      <c r="D279" s="8" t="s">
        <v>30</v>
      </c>
      <c r="E279" s="9">
        <v>170</v>
      </c>
      <c r="F279" s="10">
        <v>2686473.3</v>
      </c>
      <c r="G279" s="10">
        <v>529503.89</v>
      </c>
      <c r="H279" s="11">
        <v>19.71</v>
      </c>
      <c r="I279" s="11">
        <v>17.79</v>
      </c>
      <c r="J279" s="10">
        <v>6205.35</v>
      </c>
      <c r="K279" s="10">
        <v>6099.8</v>
      </c>
      <c r="L279" s="10">
        <v>2652584.98</v>
      </c>
      <c r="M279" s="10">
        <v>2676395.27</v>
      </c>
      <c r="N279" s="10">
        <v>33888.32</v>
      </c>
      <c r="O279" s="10">
        <v>2659206.59</v>
      </c>
      <c r="P279" s="10">
        <v>2650330.92</v>
      </c>
      <c r="Q279" s="10">
        <v>8875.67</v>
      </c>
      <c r="R279" s="10">
        <v>477923.6</v>
      </c>
      <c r="S279" s="10">
        <v>51580.29</v>
      </c>
      <c r="T279" s="10">
        <v>71872.539999999994</v>
      </c>
      <c r="U279" s="10">
        <v>45405.29</v>
      </c>
      <c r="V279" s="10">
        <v>3967.89</v>
      </c>
      <c r="W279" s="10">
        <v>2653.72</v>
      </c>
      <c r="X279" s="10">
        <v>4223.5200000000004</v>
      </c>
      <c r="Y279" s="9">
        <v>1600902</v>
      </c>
    </row>
    <row r="280" spans="1:25" ht="16.05" customHeight="1" x14ac:dyDescent="0.3">
      <c r="A280" s="2">
        <v>1988</v>
      </c>
      <c r="B280" s="2">
        <v>29</v>
      </c>
      <c r="C280" s="2">
        <v>2022</v>
      </c>
      <c r="D280" s="3" t="s">
        <v>30</v>
      </c>
      <c r="E280" s="4">
        <v>6811</v>
      </c>
      <c r="F280" s="5">
        <v>277315575.60000002</v>
      </c>
      <c r="G280" s="5">
        <v>29256793.219999999</v>
      </c>
      <c r="H280" s="6">
        <v>10.55</v>
      </c>
      <c r="I280" s="6">
        <v>16.899999999999999</v>
      </c>
      <c r="J280" s="5">
        <v>9602.16</v>
      </c>
      <c r="K280" s="5">
        <v>10794.64</v>
      </c>
      <c r="L280" s="5">
        <v>277224506.39999998</v>
      </c>
      <c r="M280" s="5">
        <v>277311364.89999998</v>
      </c>
      <c r="N280" s="5">
        <v>91069.119999999995</v>
      </c>
      <c r="O280" s="5">
        <v>277239275.89999998</v>
      </c>
      <c r="P280" s="5">
        <v>277234049.80000001</v>
      </c>
      <c r="Q280" s="5">
        <v>5226.13</v>
      </c>
      <c r="R280" s="5">
        <v>46866332.270000003</v>
      </c>
      <c r="S280" s="5">
        <v>-17609539.050000001</v>
      </c>
      <c r="T280" s="5">
        <v>87367.24</v>
      </c>
      <c r="U280" s="5">
        <v>38407.42</v>
      </c>
      <c r="V280" s="5">
        <v>11462.74</v>
      </c>
      <c r="W280" s="5">
        <v>3306.7</v>
      </c>
      <c r="X280" s="5">
        <v>1522.79</v>
      </c>
      <c r="Y280" s="4">
        <v>3189291</v>
      </c>
    </row>
    <row r="281" spans="1:25" ht="16.05" customHeight="1" x14ac:dyDescent="0.3">
      <c r="A281" s="7">
        <v>2058</v>
      </c>
      <c r="B281" s="7">
        <v>30</v>
      </c>
      <c r="C281" s="7">
        <v>2022</v>
      </c>
      <c r="D281" s="8" t="s">
        <v>30</v>
      </c>
      <c r="E281" s="9">
        <v>5176</v>
      </c>
      <c r="F281" s="10">
        <v>308938161.39999998</v>
      </c>
      <c r="G281" s="10">
        <v>68985891.430000007</v>
      </c>
      <c r="H281" s="11">
        <v>22.33</v>
      </c>
      <c r="I281" s="11">
        <v>14.09</v>
      </c>
      <c r="J281" s="10">
        <v>3061.61</v>
      </c>
      <c r="K281" s="10">
        <v>16632.900000000001</v>
      </c>
      <c r="L281" s="10">
        <v>308896005.39999998</v>
      </c>
      <c r="M281" s="10">
        <v>308925207.19999999</v>
      </c>
      <c r="N281" s="10">
        <v>42155.97</v>
      </c>
      <c r="O281" s="10">
        <v>308905346.39999998</v>
      </c>
      <c r="P281" s="10">
        <v>308892461.19999999</v>
      </c>
      <c r="Q281" s="10">
        <v>12885.25</v>
      </c>
      <c r="R281" s="10">
        <v>43529386.939999998</v>
      </c>
      <c r="S281" s="10">
        <v>25456504.5</v>
      </c>
      <c r="T281" s="10">
        <v>98702</v>
      </c>
      <c r="U281" s="10">
        <v>49459.360000000001</v>
      </c>
      <c r="V281" s="10">
        <v>5437.71</v>
      </c>
      <c r="W281" s="10">
        <v>3903.33</v>
      </c>
      <c r="X281" s="10">
        <v>4919.7700000000004</v>
      </c>
      <c r="Y281" s="9">
        <v>3992039</v>
      </c>
    </row>
    <row r="282" spans="1:25" ht="16.05" customHeight="1" x14ac:dyDescent="0.3">
      <c r="A282" s="2">
        <v>2128</v>
      </c>
      <c r="B282" s="2">
        <v>31</v>
      </c>
      <c r="C282" s="2">
        <v>2022</v>
      </c>
      <c r="D282" s="3" t="s">
        <v>30</v>
      </c>
      <c r="E282" s="4">
        <v>6787</v>
      </c>
      <c r="F282" s="5">
        <v>268058016.69999999</v>
      </c>
      <c r="G282" s="5">
        <v>37581733.939999998</v>
      </c>
      <c r="H282" s="6">
        <v>14.02</v>
      </c>
      <c r="I282" s="6">
        <v>9.14</v>
      </c>
      <c r="J282" s="5">
        <v>7127.98</v>
      </c>
      <c r="K282" s="5">
        <v>17287.12</v>
      </c>
      <c r="L282" s="5">
        <v>267996689.09999999</v>
      </c>
      <c r="M282" s="5">
        <v>268050029</v>
      </c>
      <c r="N282" s="5">
        <v>61327.63</v>
      </c>
      <c r="O282" s="5">
        <v>268006322.40000001</v>
      </c>
      <c r="P282" s="5">
        <v>268003276.40000001</v>
      </c>
      <c r="Q282" s="5">
        <v>3046.03</v>
      </c>
      <c r="R282" s="5">
        <v>24500502.73</v>
      </c>
      <c r="S282" s="5">
        <v>13081231.220000001</v>
      </c>
      <c r="T282" s="5">
        <v>20505.259999999998</v>
      </c>
      <c r="U282" s="5">
        <v>41266.53</v>
      </c>
      <c r="V282" s="5">
        <v>4993.13</v>
      </c>
      <c r="W282" s="5">
        <v>4640.22</v>
      </c>
      <c r="X282" s="5">
        <v>4140.8</v>
      </c>
      <c r="Y282" s="4">
        <v>4610583</v>
      </c>
    </row>
    <row r="283" spans="1:25" ht="16.05" customHeight="1" x14ac:dyDescent="0.3">
      <c r="A283" s="7">
        <v>2198</v>
      </c>
      <c r="B283" s="7">
        <v>32</v>
      </c>
      <c r="C283" s="7">
        <v>2022</v>
      </c>
      <c r="D283" s="8" t="s">
        <v>30</v>
      </c>
      <c r="E283" s="9">
        <v>3935</v>
      </c>
      <c r="F283" s="10">
        <v>209866842.30000001</v>
      </c>
      <c r="G283" s="10">
        <v>35509469.710000001</v>
      </c>
      <c r="H283" s="11">
        <v>16.920000000000002</v>
      </c>
      <c r="I283" s="11">
        <v>11.28</v>
      </c>
      <c r="J283" s="10">
        <v>5267.24</v>
      </c>
      <c r="K283" s="10">
        <v>2083.4499999999998</v>
      </c>
      <c r="L283" s="10">
        <v>209789796</v>
      </c>
      <c r="M283" s="10">
        <v>209844492.59999999</v>
      </c>
      <c r="N283" s="10">
        <v>77046.289999999994</v>
      </c>
      <c r="O283" s="10">
        <v>209797409.90000001</v>
      </c>
      <c r="P283" s="10">
        <v>209786373.90000001</v>
      </c>
      <c r="Q283" s="10">
        <v>11036.06</v>
      </c>
      <c r="R283" s="10">
        <v>23672979.809999999</v>
      </c>
      <c r="S283" s="10">
        <v>11836489.9</v>
      </c>
      <c r="T283" s="10">
        <v>13036.29</v>
      </c>
      <c r="U283" s="10">
        <v>41344.97</v>
      </c>
      <c r="V283" s="10">
        <v>1727.57</v>
      </c>
      <c r="W283" s="10">
        <v>5886.37</v>
      </c>
      <c r="X283" s="10">
        <v>4108.07</v>
      </c>
      <c r="Y283" s="9">
        <v>1429748</v>
      </c>
    </row>
    <row r="284" spans="1:25" ht="16.05" customHeight="1" x14ac:dyDescent="0.3">
      <c r="A284" s="2">
        <v>2268</v>
      </c>
      <c r="B284" s="2">
        <v>33</v>
      </c>
      <c r="C284" s="2">
        <v>2022</v>
      </c>
      <c r="D284" s="3" t="s">
        <v>30</v>
      </c>
      <c r="E284" s="4">
        <v>2023</v>
      </c>
      <c r="F284" s="5">
        <v>67305688.780000001</v>
      </c>
      <c r="G284" s="5">
        <v>11186205.48</v>
      </c>
      <c r="H284" s="6">
        <v>16.62</v>
      </c>
      <c r="I284" s="6">
        <v>6.18</v>
      </c>
      <c r="J284" s="5">
        <v>1030.49</v>
      </c>
      <c r="K284" s="5">
        <v>17632.400000000001</v>
      </c>
      <c r="L284" s="5">
        <v>67259941.829999998</v>
      </c>
      <c r="M284" s="5">
        <v>67301895.840000004</v>
      </c>
      <c r="N284" s="5">
        <v>45746.95</v>
      </c>
      <c r="O284" s="5">
        <v>67264635.109999999</v>
      </c>
      <c r="P284" s="5">
        <v>67259103.930000007</v>
      </c>
      <c r="Q284" s="5">
        <v>5531.18</v>
      </c>
      <c r="R284" s="5">
        <v>4159491.57</v>
      </c>
      <c r="S284" s="5">
        <v>7026713.9100000001</v>
      </c>
      <c r="T284" s="5">
        <v>96667.41</v>
      </c>
      <c r="U284" s="5">
        <v>31832.29</v>
      </c>
      <c r="V284" s="5">
        <v>2093.4499999999998</v>
      </c>
      <c r="W284" s="5">
        <v>2599.83</v>
      </c>
      <c r="X284" s="5">
        <v>2984.47</v>
      </c>
      <c r="Y284" s="4">
        <v>3177293</v>
      </c>
    </row>
    <row r="285" spans="1:25" ht="16.05" customHeight="1" x14ac:dyDescent="0.3">
      <c r="A285" s="7">
        <v>2338</v>
      </c>
      <c r="B285" s="7">
        <v>34</v>
      </c>
      <c r="C285" s="7">
        <v>2022</v>
      </c>
      <c r="D285" s="8" t="s">
        <v>30</v>
      </c>
      <c r="E285" s="9">
        <v>4079</v>
      </c>
      <c r="F285" s="10">
        <v>236229722.5</v>
      </c>
      <c r="G285" s="10">
        <v>37962116.409999996</v>
      </c>
      <c r="H285" s="11">
        <v>16.07</v>
      </c>
      <c r="I285" s="11">
        <v>5.96</v>
      </c>
      <c r="J285" s="10">
        <v>9243.3700000000008</v>
      </c>
      <c r="K285" s="10">
        <v>12707.8</v>
      </c>
      <c r="L285" s="10">
        <v>236134318.30000001</v>
      </c>
      <c r="M285" s="10">
        <v>236210478.69999999</v>
      </c>
      <c r="N285" s="10">
        <v>95404.25</v>
      </c>
      <c r="O285" s="10">
        <v>236149856.90000001</v>
      </c>
      <c r="P285" s="10">
        <v>236141998.80000001</v>
      </c>
      <c r="Q285" s="10">
        <v>7858.05</v>
      </c>
      <c r="R285" s="10">
        <v>14079291.460000001</v>
      </c>
      <c r="S285" s="10">
        <v>23882824.949999999</v>
      </c>
      <c r="T285" s="10">
        <v>86207.21</v>
      </c>
      <c r="U285" s="10">
        <v>29842.53</v>
      </c>
      <c r="V285" s="10">
        <v>7817.62</v>
      </c>
      <c r="W285" s="10">
        <v>7720.97</v>
      </c>
      <c r="X285" s="10">
        <v>1028.68</v>
      </c>
      <c r="Y285" s="9">
        <v>2172597</v>
      </c>
    </row>
    <row r="286" spans="1:25" ht="16.05" customHeight="1" x14ac:dyDescent="0.3">
      <c r="A286" s="2">
        <v>2408</v>
      </c>
      <c r="B286" s="2">
        <v>35</v>
      </c>
      <c r="C286" s="2">
        <v>2022</v>
      </c>
      <c r="D286" s="3" t="s">
        <v>30</v>
      </c>
      <c r="E286" s="4">
        <v>4954</v>
      </c>
      <c r="F286" s="5">
        <v>300448131.30000001</v>
      </c>
      <c r="G286" s="5">
        <v>27671272.899999999</v>
      </c>
      <c r="H286" s="6">
        <v>9.2100000000000009</v>
      </c>
      <c r="I286" s="6">
        <v>18.25</v>
      </c>
      <c r="J286" s="5">
        <v>14143.65</v>
      </c>
      <c r="K286" s="5">
        <v>13861.76</v>
      </c>
      <c r="L286" s="5">
        <v>300423737.30000001</v>
      </c>
      <c r="M286" s="5">
        <v>300432687</v>
      </c>
      <c r="N286" s="5">
        <v>24394.05</v>
      </c>
      <c r="O286" s="5">
        <v>300432914.19999999</v>
      </c>
      <c r="P286" s="5">
        <v>300419924.19999999</v>
      </c>
      <c r="Q286" s="5">
        <v>12990.04</v>
      </c>
      <c r="R286" s="5">
        <v>54831783.969999999</v>
      </c>
      <c r="S286" s="5">
        <v>-27160511.07</v>
      </c>
      <c r="T286" s="5">
        <v>28326.44</v>
      </c>
      <c r="U286" s="5">
        <v>17751.43</v>
      </c>
      <c r="V286" s="5">
        <v>8443.58</v>
      </c>
      <c r="W286" s="5">
        <v>733.36</v>
      </c>
      <c r="X286" s="5">
        <v>1275.1199999999999</v>
      </c>
      <c r="Y286" s="4">
        <v>1677702</v>
      </c>
    </row>
    <row r="287" spans="1:25" ht="16.05" customHeight="1" x14ac:dyDescent="0.3">
      <c r="A287" s="7">
        <v>2478</v>
      </c>
      <c r="B287" s="7">
        <v>36</v>
      </c>
      <c r="C287" s="7">
        <v>2022</v>
      </c>
      <c r="D287" s="8" t="s">
        <v>30</v>
      </c>
      <c r="E287" s="9">
        <v>4097</v>
      </c>
      <c r="F287" s="10">
        <v>118542016.09999999</v>
      </c>
      <c r="G287" s="10">
        <v>33416994.34</v>
      </c>
      <c r="H287" s="11">
        <v>28.19</v>
      </c>
      <c r="I287" s="11">
        <v>10.61</v>
      </c>
      <c r="J287" s="10">
        <v>3991.23</v>
      </c>
      <c r="K287" s="10">
        <v>15648.04</v>
      </c>
      <c r="L287" s="10">
        <v>118467468.40000001</v>
      </c>
      <c r="M287" s="10">
        <v>118524796.2</v>
      </c>
      <c r="N287" s="10">
        <v>74547.75</v>
      </c>
      <c r="O287" s="10">
        <v>118476726.5</v>
      </c>
      <c r="P287" s="10">
        <v>118462597.3</v>
      </c>
      <c r="Q287" s="10">
        <v>14129.15</v>
      </c>
      <c r="R287" s="10">
        <v>12577307.91</v>
      </c>
      <c r="S287" s="10">
        <v>20839686.43</v>
      </c>
      <c r="T287" s="10">
        <v>50192.6</v>
      </c>
      <c r="U287" s="10">
        <v>16134.31</v>
      </c>
      <c r="V287" s="10">
        <v>4960.75</v>
      </c>
      <c r="W287" s="10">
        <v>4297.34</v>
      </c>
      <c r="X287" s="10">
        <v>1093.95</v>
      </c>
      <c r="Y287" s="9">
        <v>2586264</v>
      </c>
    </row>
    <row r="288" spans="1:25" ht="16.05" customHeight="1" x14ac:dyDescent="0.3">
      <c r="A288" s="2">
        <v>2548</v>
      </c>
      <c r="B288" s="2">
        <v>37</v>
      </c>
      <c r="C288" s="2">
        <v>2022</v>
      </c>
      <c r="D288" s="3" t="s">
        <v>30</v>
      </c>
      <c r="E288" s="4">
        <v>3640</v>
      </c>
      <c r="F288" s="5">
        <v>202071273.59999999</v>
      </c>
      <c r="G288" s="5">
        <v>48295034.380000003</v>
      </c>
      <c r="H288" s="6">
        <v>23.9</v>
      </c>
      <c r="I288" s="6">
        <v>16.23</v>
      </c>
      <c r="J288" s="5">
        <v>5173.9799999999996</v>
      </c>
      <c r="K288" s="5">
        <v>7215.18</v>
      </c>
      <c r="L288" s="5">
        <v>202058332.69999999</v>
      </c>
      <c r="M288" s="5">
        <v>202067217.19999999</v>
      </c>
      <c r="N288" s="5">
        <v>12940.88</v>
      </c>
      <c r="O288" s="5">
        <v>202067364.40000001</v>
      </c>
      <c r="P288" s="5">
        <v>202052960.09999999</v>
      </c>
      <c r="Q288" s="5">
        <v>14404.29</v>
      </c>
      <c r="R288" s="5">
        <v>32796167.699999999</v>
      </c>
      <c r="S288" s="5">
        <v>15498866.68</v>
      </c>
      <c r="T288" s="5">
        <v>42044.19</v>
      </c>
      <c r="U288" s="5">
        <v>48022.73</v>
      </c>
      <c r="V288" s="5">
        <v>7184.39</v>
      </c>
      <c r="W288" s="5">
        <v>1847.34</v>
      </c>
      <c r="X288" s="5">
        <v>4402.74</v>
      </c>
      <c r="Y288" s="4">
        <v>4491007</v>
      </c>
    </row>
    <row r="289" spans="1:25" ht="16.05" customHeight="1" x14ac:dyDescent="0.3">
      <c r="A289" s="7">
        <v>2618</v>
      </c>
      <c r="B289" s="7">
        <v>38</v>
      </c>
      <c r="C289" s="7">
        <v>2022</v>
      </c>
      <c r="D289" s="8" t="s">
        <v>30</v>
      </c>
      <c r="E289" s="9">
        <v>3955</v>
      </c>
      <c r="F289" s="10">
        <v>82204860.040000007</v>
      </c>
      <c r="G289" s="10">
        <v>5622812.4299999997</v>
      </c>
      <c r="H289" s="11">
        <v>6.84</v>
      </c>
      <c r="I289" s="11">
        <v>19.190000000000001</v>
      </c>
      <c r="J289" s="10">
        <v>5035.7</v>
      </c>
      <c r="K289" s="10">
        <v>10542.23</v>
      </c>
      <c r="L289" s="10">
        <v>82160731.180000007</v>
      </c>
      <c r="M289" s="10">
        <v>82190925.489999995</v>
      </c>
      <c r="N289" s="10">
        <v>44128.86</v>
      </c>
      <c r="O289" s="10">
        <v>82166697</v>
      </c>
      <c r="P289" s="10">
        <v>82154577.730000004</v>
      </c>
      <c r="Q289" s="10">
        <v>12119.27</v>
      </c>
      <c r="R289" s="10">
        <v>15775112.640000001</v>
      </c>
      <c r="S289" s="10">
        <v>-10152300.210000001</v>
      </c>
      <c r="T289" s="10">
        <v>58251.360000000001</v>
      </c>
      <c r="U289" s="10">
        <v>10607.7</v>
      </c>
      <c r="V289" s="10">
        <v>3014.26</v>
      </c>
      <c r="W289" s="10">
        <v>2951.56</v>
      </c>
      <c r="X289" s="10">
        <v>2872.57</v>
      </c>
      <c r="Y289" s="9">
        <v>4566314</v>
      </c>
    </row>
    <row r="290" spans="1:25" ht="16.05" customHeight="1" x14ac:dyDescent="0.3">
      <c r="A290" s="2">
        <v>2688</v>
      </c>
      <c r="B290" s="2">
        <v>39</v>
      </c>
      <c r="C290" s="2">
        <v>2022</v>
      </c>
      <c r="D290" s="3" t="s">
        <v>30</v>
      </c>
      <c r="E290" s="4">
        <v>2682</v>
      </c>
      <c r="F290" s="5">
        <v>117714311.3</v>
      </c>
      <c r="G290" s="5">
        <v>7875087.4199999999</v>
      </c>
      <c r="H290" s="6">
        <v>6.69</v>
      </c>
      <c r="I290" s="6">
        <v>12.57</v>
      </c>
      <c r="J290" s="5">
        <v>3521.3</v>
      </c>
      <c r="K290" s="5">
        <v>13112.74</v>
      </c>
      <c r="L290" s="5">
        <v>117653024.7</v>
      </c>
      <c r="M290" s="5">
        <v>117707153.09999999</v>
      </c>
      <c r="N290" s="5">
        <v>61286.55</v>
      </c>
      <c r="O290" s="5">
        <v>117665102.90000001</v>
      </c>
      <c r="P290" s="5">
        <v>117652075.3</v>
      </c>
      <c r="Q290" s="5">
        <v>13027.55</v>
      </c>
      <c r="R290" s="5">
        <v>14796688.93</v>
      </c>
      <c r="S290" s="5">
        <v>-6921601.5</v>
      </c>
      <c r="T290" s="5">
        <v>19924.32</v>
      </c>
      <c r="U290" s="5">
        <v>29496.54</v>
      </c>
      <c r="V290" s="5">
        <v>8861.3799999999992</v>
      </c>
      <c r="W290" s="5">
        <v>3216.75</v>
      </c>
      <c r="X290" s="5">
        <v>1440.04</v>
      </c>
      <c r="Y290" s="4">
        <v>1351927</v>
      </c>
    </row>
    <row r="291" spans="1:25" ht="16.05" customHeight="1" x14ac:dyDescent="0.3">
      <c r="A291" s="7">
        <v>2758</v>
      </c>
      <c r="B291" s="7">
        <v>40</v>
      </c>
      <c r="C291" s="7">
        <v>2022</v>
      </c>
      <c r="D291" s="8" t="s">
        <v>30</v>
      </c>
      <c r="E291" s="9">
        <v>2115</v>
      </c>
      <c r="F291" s="10">
        <v>51727559.560000002</v>
      </c>
      <c r="G291" s="10">
        <v>5767622.8899999997</v>
      </c>
      <c r="H291" s="11">
        <v>11.15</v>
      </c>
      <c r="I291" s="11">
        <v>10.53</v>
      </c>
      <c r="J291" s="10">
        <v>6154.83</v>
      </c>
      <c r="K291" s="10">
        <v>15873.74</v>
      </c>
      <c r="L291" s="10">
        <v>51642415.479999997</v>
      </c>
      <c r="M291" s="10">
        <v>51710786.740000002</v>
      </c>
      <c r="N291" s="10">
        <v>85144.08</v>
      </c>
      <c r="O291" s="10">
        <v>51654657.149999999</v>
      </c>
      <c r="P291" s="10">
        <v>51642404.5</v>
      </c>
      <c r="Q291" s="10">
        <v>12252.65</v>
      </c>
      <c r="R291" s="10">
        <v>5446912.0199999996</v>
      </c>
      <c r="S291" s="10">
        <v>320710.87</v>
      </c>
      <c r="T291" s="10">
        <v>107817.17</v>
      </c>
      <c r="U291" s="10">
        <v>23885.02</v>
      </c>
      <c r="V291" s="10">
        <v>9151.7999999999993</v>
      </c>
      <c r="W291" s="10">
        <v>3089.87</v>
      </c>
      <c r="X291" s="10">
        <v>2769.91</v>
      </c>
      <c r="Y291" s="9">
        <v>1860020</v>
      </c>
    </row>
    <row r="292" spans="1:25" ht="16.05" customHeight="1" x14ac:dyDescent="0.3">
      <c r="A292" s="2">
        <v>2828</v>
      </c>
      <c r="B292" s="2">
        <v>41</v>
      </c>
      <c r="C292" s="2">
        <v>2022</v>
      </c>
      <c r="D292" s="3" t="s">
        <v>30</v>
      </c>
      <c r="E292" s="4">
        <v>5977</v>
      </c>
      <c r="F292" s="5">
        <v>377107820.60000002</v>
      </c>
      <c r="G292" s="5">
        <v>62713030.560000002</v>
      </c>
      <c r="H292" s="6">
        <v>16.63</v>
      </c>
      <c r="I292" s="6">
        <v>10.95</v>
      </c>
      <c r="J292" s="5">
        <v>8478.69</v>
      </c>
      <c r="K292" s="5">
        <v>5814.63</v>
      </c>
      <c r="L292" s="5">
        <v>377085501.5</v>
      </c>
      <c r="M292" s="5">
        <v>377091701.10000002</v>
      </c>
      <c r="N292" s="5">
        <v>22319.08</v>
      </c>
      <c r="O292" s="5">
        <v>377099452.69999999</v>
      </c>
      <c r="P292" s="5">
        <v>377089066.80000001</v>
      </c>
      <c r="Q292" s="5">
        <v>10385.969999999999</v>
      </c>
      <c r="R292" s="5">
        <v>41293306.350000001</v>
      </c>
      <c r="S292" s="5">
        <v>21419724.210000001</v>
      </c>
      <c r="T292" s="5">
        <v>30269.52</v>
      </c>
      <c r="U292" s="5">
        <v>41375.1</v>
      </c>
      <c r="V292" s="5">
        <v>10638.78</v>
      </c>
      <c r="W292" s="5">
        <v>3312.46</v>
      </c>
      <c r="X292" s="5">
        <v>1746.54</v>
      </c>
      <c r="Y292" s="4">
        <v>2217269</v>
      </c>
    </row>
    <row r="293" spans="1:25" ht="16.05" customHeight="1" x14ac:dyDescent="0.3">
      <c r="A293" s="7">
        <v>2898</v>
      </c>
      <c r="B293" s="7">
        <v>42</v>
      </c>
      <c r="C293" s="7">
        <v>2022</v>
      </c>
      <c r="D293" s="8" t="s">
        <v>30</v>
      </c>
      <c r="E293" s="9">
        <v>2496</v>
      </c>
      <c r="F293" s="10">
        <v>75217832.879999995</v>
      </c>
      <c r="G293" s="10">
        <v>17939453.140000001</v>
      </c>
      <c r="H293" s="11">
        <v>23.85</v>
      </c>
      <c r="I293" s="11">
        <v>19.760000000000002</v>
      </c>
      <c r="J293" s="10">
        <v>5484.08</v>
      </c>
      <c r="K293" s="10">
        <v>3228.86</v>
      </c>
      <c r="L293" s="10">
        <v>75199709.530000001</v>
      </c>
      <c r="M293" s="10">
        <v>75210233.280000001</v>
      </c>
      <c r="N293" s="10">
        <v>18123.349999999999</v>
      </c>
      <c r="O293" s="10">
        <v>75212107.019999996</v>
      </c>
      <c r="P293" s="10">
        <v>75200008.459999993</v>
      </c>
      <c r="Q293" s="10">
        <v>12098.56</v>
      </c>
      <c r="R293" s="10">
        <v>14863043.779999999</v>
      </c>
      <c r="S293" s="10">
        <v>3076409.36</v>
      </c>
      <c r="T293" s="10">
        <v>77681.990000000005</v>
      </c>
      <c r="U293" s="10">
        <v>46203.18</v>
      </c>
      <c r="V293" s="10">
        <v>7307.61</v>
      </c>
      <c r="W293" s="10">
        <v>5089.88</v>
      </c>
      <c r="X293" s="10">
        <v>1035.5</v>
      </c>
      <c r="Y293" s="9">
        <v>2377707</v>
      </c>
    </row>
    <row r="294" spans="1:25" ht="16.05" customHeight="1" x14ac:dyDescent="0.3">
      <c r="A294" s="2">
        <v>2968</v>
      </c>
      <c r="B294" s="2">
        <v>43</v>
      </c>
      <c r="C294" s="2">
        <v>2022</v>
      </c>
      <c r="D294" s="3" t="s">
        <v>30</v>
      </c>
      <c r="E294" s="4">
        <v>1486</v>
      </c>
      <c r="F294" s="5">
        <v>79377000.799999997</v>
      </c>
      <c r="G294" s="5">
        <v>8263145.7800000003</v>
      </c>
      <c r="H294" s="6">
        <v>10.41</v>
      </c>
      <c r="I294" s="6">
        <v>13.07</v>
      </c>
      <c r="J294" s="5">
        <v>7372.44</v>
      </c>
      <c r="K294" s="5">
        <v>11842.53</v>
      </c>
      <c r="L294" s="5">
        <v>79348922.950000003</v>
      </c>
      <c r="M294" s="5">
        <v>79369686.049999997</v>
      </c>
      <c r="N294" s="5">
        <v>28077.85</v>
      </c>
      <c r="O294" s="5">
        <v>79360786</v>
      </c>
      <c r="P294" s="5">
        <v>79357219.560000002</v>
      </c>
      <c r="Q294" s="5">
        <v>3566.44</v>
      </c>
      <c r="R294" s="5">
        <v>10374574</v>
      </c>
      <c r="S294" s="5">
        <v>-2111428.2200000002</v>
      </c>
      <c r="T294" s="5">
        <v>48331.15</v>
      </c>
      <c r="U294" s="5">
        <v>31418.12</v>
      </c>
      <c r="V294" s="5">
        <v>9638.26</v>
      </c>
      <c r="W294" s="5">
        <v>2224.79</v>
      </c>
      <c r="X294" s="5">
        <v>4137.9399999999996</v>
      </c>
      <c r="Y294" s="4">
        <v>2793177</v>
      </c>
    </row>
    <row r="295" spans="1:25" ht="16.05" customHeight="1" x14ac:dyDescent="0.3">
      <c r="A295" s="7">
        <v>3038</v>
      </c>
      <c r="B295" s="7">
        <v>44</v>
      </c>
      <c r="C295" s="7">
        <v>2022</v>
      </c>
      <c r="D295" s="8" t="s">
        <v>30</v>
      </c>
      <c r="E295" s="9">
        <v>959</v>
      </c>
      <c r="F295" s="10">
        <v>65197773.710000001</v>
      </c>
      <c r="G295" s="10">
        <v>19435456.34</v>
      </c>
      <c r="H295" s="11">
        <v>29.81</v>
      </c>
      <c r="I295" s="11">
        <v>13.92</v>
      </c>
      <c r="J295" s="10">
        <v>9074.4500000000007</v>
      </c>
      <c r="K295" s="10">
        <v>13548.18</v>
      </c>
      <c r="L295" s="10">
        <v>65160572.100000001</v>
      </c>
      <c r="M295" s="10">
        <v>65173648.530000001</v>
      </c>
      <c r="N295" s="10">
        <v>37201.61</v>
      </c>
      <c r="O295" s="10">
        <v>65167854.450000003</v>
      </c>
      <c r="P295" s="10">
        <v>65157811.93</v>
      </c>
      <c r="Q295" s="10">
        <v>10042.52</v>
      </c>
      <c r="R295" s="10">
        <v>9075530.0999999996</v>
      </c>
      <c r="S295" s="10">
        <v>10359926.24</v>
      </c>
      <c r="T295" s="10">
        <v>104164.93</v>
      </c>
      <c r="U295" s="10">
        <v>41452.85</v>
      </c>
      <c r="V295" s="10">
        <v>4539.42</v>
      </c>
      <c r="W295" s="10">
        <v>2742.93</v>
      </c>
      <c r="X295" s="10">
        <v>2127.7399999999998</v>
      </c>
      <c r="Y295" s="9">
        <v>2475144</v>
      </c>
    </row>
    <row r="296" spans="1:25" ht="16.05" customHeight="1" x14ac:dyDescent="0.3">
      <c r="A296" s="2">
        <v>3108</v>
      </c>
      <c r="B296" s="2">
        <v>45</v>
      </c>
      <c r="C296" s="2">
        <v>2022</v>
      </c>
      <c r="D296" s="3" t="s">
        <v>30</v>
      </c>
      <c r="E296" s="4">
        <v>6361</v>
      </c>
      <c r="F296" s="5">
        <v>239771105.80000001</v>
      </c>
      <c r="G296" s="5">
        <v>45220830.549999997</v>
      </c>
      <c r="H296" s="6">
        <v>18.86</v>
      </c>
      <c r="I296" s="6">
        <v>11.33</v>
      </c>
      <c r="J296" s="5">
        <v>4802.74</v>
      </c>
      <c r="K296" s="5">
        <v>19449.25</v>
      </c>
      <c r="L296" s="5">
        <v>239731829.40000001</v>
      </c>
      <c r="M296" s="5">
        <v>239749136.30000001</v>
      </c>
      <c r="N296" s="5">
        <v>39276.42</v>
      </c>
      <c r="O296" s="5">
        <v>239750571</v>
      </c>
      <c r="P296" s="5">
        <v>239747885.59999999</v>
      </c>
      <c r="Q296" s="5">
        <v>2685.47</v>
      </c>
      <c r="R296" s="5">
        <v>27166066.289999999</v>
      </c>
      <c r="S296" s="5">
        <v>18054764.27</v>
      </c>
      <c r="T296" s="5">
        <v>10927.74</v>
      </c>
      <c r="U296" s="5">
        <v>28161.68</v>
      </c>
      <c r="V296" s="5">
        <v>11226.77</v>
      </c>
      <c r="W296" s="5">
        <v>7514.91</v>
      </c>
      <c r="X296" s="5">
        <v>2861.99</v>
      </c>
      <c r="Y296" s="4">
        <v>3776910</v>
      </c>
    </row>
    <row r="297" spans="1:25" ht="16.05" customHeight="1" x14ac:dyDescent="0.3">
      <c r="A297" s="7">
        <v>3178</v>
      </c>
      <c r="B297" s="7">
        <v>46</v>
      </c>
      <c r="C297" s="7">
        <v>2022</v>
      </c>
      <c r="D297" s="8" t="s">
        <v>30</v>
      </c>
      <c r="E297" s="9">
        <v>4168</v>
      </c>
      <c r="F297" s="10">
        <v>62434776.789999999</v>
      </c>
      <c r="G297" s="10">
        <v>15895894.17</v>
      </c>
      <c r="H297" s="11">
        <v>25.46</v>
      </c>
      <c r="I297" s="11">
        <v>14.59</v>
      </c>
      <c r="J297" s="10">
        <v>12448.85</v>
      </c>
      <c r="K297" s="10">
        <v>8193.14</v>
      </c>
      <c r="L297" s="10">
        <v>62368506.530000001</v>
      </c>
      <c r="M297" s="10">
        <v>62420904.990000002</v>
      </c>
      <c r="N297" s="10">
        <v>66270.259999999995</v>
      </c>
      <c r="O297" s="10">
        <v>62383613.009999998</v>
      </c>
      <c r="P297" s="10">
        <v>62376854.079999998</v>
      </c>
      <c r="Q297" s="10">
        <v>6758.93</v>
      </c>
      <c r="R297" s="10">
        <v>9109233.9299999997</v>
      </c>
      <c r="S297" s="10">
        <v>6786660.2400000002</v>
      </c>
      <c r="T297" s="10">
        <v>115909.74</v>
      </c>
      <c r="U297" s="10">
        <v>38174.699999999997</v>
      </c>
      <c r="V297" s="10">
        <v>11396.76</v>
      </c>
      <c r="W297" s="10">
        <v>3709.72</v>
      </c>
      <c r="X297" s="10">
        <v>1116.05</v>
      </c>
      <c r="Y297" s="9">
        <v>3592541</v>
      </c>
    </row>
    <row r="298" spans="1:25" ht="16.05" customHeight="1" x14ac:dyDescent="0.3">
      <c r="A298" s="2">
        <v>3248</v>
      </c>
      <c r="B298" s="2">
        <v>47</v>
      </c>
      <c r="C298" s="2">
        <v>2022</v>
      </c>
      <c r="D298" s="3" t="s">
        <v>30</v>
      </c>
      <c r="E298" s="4">
        <v>3357</v>
      </c>
      <c r="F298" s="5">
        <v>133627534.40000001</v>
      </c>
      <c r="G298" s="5">
        <v>36453591.380000003</v>
      </c>
      <c r="H298" s="6">
        <v>27.28</v>
      </c>
      <c r="I298" s="6">
        <v>8.9499999999999993</v>
      </c>
      <c r="J298" s="5">
        <v>14418.17</v>
      </c>
      <c r="K298" s="5">
        <v>6583.39</v>
      </c>
      <c r="L298" s="5">
        <v>133593962.2</v>
      </c>
      <c r="M298" s="5">
        <v>133621664.90000001</v>
      </c>
      <c r="N298" s="5">
        <v>33572.18</v>
      </c>
      <c r="O298" s="5">
        <v>133607040.7</v>
      </c>
      <c r="P298" s="5">
        <v>133604723.09999999</v>
      </c>
      <c r="Q298" s="5">
        <v>2317.59</v>
      </c>
      <c r="R298" s="5">
        <v>11959664.33</v>
      </c>
      <c r="S298" s="5">
        <v>24493927.050000001</v>
      </c>
      <c r="T298" s="5">
        <v>96739.62</v>
      </c>
      <c r="U298" s="5">
        <v>15880.01</v>
      </c>
      <c r="V298" s="5">
        <v>5429.21</v>
      </c>
      <c r="W298" s="5">
        <v>7649.26</v>
      </c>
      <c r="X298" s="5">
        <v>3429.84</v>
      </c>
      <c r="Y298" s="4">
        <v>1138831</v>
      </c>
    </row>
    <row r="299" spans="1:25" ht="16.05" customHeight="1" x14ac:dyDescent="0.3">
      <c r="A299" s="7">
        <v>3318</v>
      </c>
      <c r="B299" s="7">
        <v>48</v>
      </c>
      <c r="C299" s="7">
        <v>2022</v>
      </c>
      <c r="D299" s="8" t="s">
        <v>30</v>
      </c>
      <c r="E299" s="9">
        <v>2789</v>
      </c>
      <c r="F299" s="10">
        <v>93672428.819999993</v>
      </c>
      <c r="G299" s="10">
        <v>25834855.870000001</v>
      </c>
      <c r="H299" s="11">
        <v>27.58</v>
      </c>
      <c r="I299" s="11">
        <v>9.86</v>
      </c>
      <c r="J299" s="10">
        <v>5863.68</v>
      </c>
      <c r="K299" s="10">
        <v>10623.47</v>
      </c>
      <c r="L299" s="10">
        <v>93603438.219999999</v>
      </c>
      <c r="M299" s="10">
        <v>93651682.989999995</v>
      </c>
      <c r="N299" s="10">
        <v>68990.600000000006</v>
      </c>
      <c r="O299" s="10">
        <v>93610837</v>
      </c>
      <c r="P299" s="10">
        <v>93603848.099999994</v>
      </c>
      <c r="Q299" s="10">
        <v>6988.9</v>
      </c>
      <c r="R299" s="10">
        <v>9236101.4800000004</v>
      </c>
      <c r="S299" s="10">
        <v>16598754.390000001</v>
      </c>
      <c r="T299" s="10">
        <v>31195.94</v>
      </c>
      <c r="U299" s="10">
        <v>51081</v>
      </c>
      <c r="V299" s="10">
        <v>5890.68</v>
      </c>
      <c r="W299" s="10">
        <v>1508.1</v>
      </c>
      <c r="X299" s="10">
        <v>2671.68</v>
      </c>
      <c r="Y299" s="9">
        <v>2611940</v>
      </c>
    </row>
    <row r="300" spans="1:25" ht="16.05" customHeight="1" x14ac:dyDescent="0.3">
      <c r="A300" s="2">
        <v>3388</v>
      </c>
      <c r="B300" s="2">
        <v>49</v>
      </c>
      <c r="C300" s="2">
        <v>2022</v>
      </c>
      <c r="D300" s="3" t="s">
        <v>30</v>
      </c>
      <c r="E300" s="4">
        <v>4623</v>
      </c>
      <c r="F300" s="5">
        <v>213039216.40000001</v>
      </c>
      <c r="G300" s="5">
        <v>54410215.859999999</v>
      </c>
      <c r="H300" s="6">
        <v>25.54</v>
      </c>
      <c r="I300" s="6">
        <v>6.23</v>
      </c>
      <c r="J300" s="5">
        <v>7683.57</v>
      </c>
      <c r="K300" s="5">
        <v>18431.05</v>
      </c>
      <c r="L300" s="5">
        <v>212939496.5</v>
      </c>
      <c r="M300" s="5">
        <v>213027246</v>
      </c>
      <c r="N300" s="5">
        <v>99719.88</v>
      </c>
      <c r="O300" s="5">
        <v>212943544.19999999</v>
      </c>
      <c r="P300" s="5">
        <v>212928740.30000001</v>
      </c>
      <c r="Q300" s="5">
        <v>14803.88</v>
      </c>
      <c r="R300" s="5">
        <v>13272343.18</v>
      </c>
      <c r="S300" s="5">
        <v>41137872.68</v>
      </c>
      <c r="T300" s="5">
        <v>15917.62</v>
      </c>
      <c r="U300" s="5">
        <v>11522.37</v>
      </c>
      <c r="V300" s="5">
        <v>2782.61</v>
      </c>
      <c r="W300" s="5">
        <v>1265.08</v>
      </c>
      <c r="X300" s="5">
        <v>2270.7800000000002</v>
      </c>
      <c r="Y300" s="4">
        <v>3324016</v>
      </c>
    </row>
    <row r="301" spans="1:25" ht="16.05" customHeight="1" x14ac:dyDescent="0.3">
      <c r="A301" s="7">
        <v>3458</v>
      </c>
      <c r="B301" s="7">
        <v>50</v>
      </c>
      <c r="C301" s="7">
        <v>2022</v>
      </c>
      <c r="D301" s="8" t="s">
        <v>30</v>
      </c>
      <c r="E301" s="9">
        <v>1144</v>
      </c>
      <c r="F301" s="10">
        <v>10578752.59</v>
      </c>
      <c r="G301" s="10">
        <v>2988497.61</v>
      </c>
      <c r="H301" s="11">
        <v>28.25</v>
      </c>
      <c r="I301" s="11">
        <v>16.75</v>
      </c>
      <c r="J301" s="10">
        <v>6547.18</v>
      </c>
      <c r="K301" s="10">
        <v>5515.01</v>
      </c>
      <c r="L301" s="10">
        <v>10542049.16</v>
      </c>
      <c r="M301" s="10">
        <v>10564008.49</v>
      </c>
      <c r="N301" s="10">
        <v>36703.43</v>
      </c>
      <c r="O301" s="10">
        <v>10546182.189999999</v>
      </c>
      <c r="P301" s="10">
        <v>10536206.220000001</v>
      </c>
      <c r="Q301" s="10">
        <v>9975.9699999999993</v>
      </c>
      <c r="R301" s="10">
        <v>1771941.06</v>
      </c>
      <c r="S301" s="10">
        <v>1216556.55</v>
      </c>
      <c r="T301" s="10">
        <v>107775.81</v>
      </c>
      <c r="U301" s="10">
        <v>42588.39</v>
      </c>
      <c r="V301" s="10">
        <v>1619.93</v>
      </c>
      <c r="W301" s="10">
        <v>2513.1</v>
      </c>
      <c r="X301" s="10">
        <v>4796.84</v>
      </c>
      <c r="Y301" s="9">
        <v>2758331</v>
      </c>
    </row>
    <row r="302" spans="1:25" ht="16.05" customHeight="1" x14ac:dyDescent="0.3">
      <c r="A302" s="2">
        <v>18</v>
      </c>
      <c r="B302" s="2">
        <v>1</v>
      </c>
      <c r="C302" s="2">
        <v>2022</v>
      </c>
      <c r="D302" s="3" t="s">
        <v>31</v>
      </c>
      <c r="E302" s="4">
        <v>221</v>
      </c>
      <c r="F302" s="5">
        <v>1878166.9</v>
      </c>
      <c r="G302" s="5">
        <v>544668.4</v>
      </c>
      <c r="H302" s="6">
        <v>29</v>
      </c>
      <c r="I302" s="6">
        <v>11.02</v>
      </c>
      <c r="J302" s="5">
        <v>8924.61</v>
      </c>
      <c r="K302" s="5">
        <v>12072.29</v>
      </c>
      <c r="L302" s="5">
        <v>1814660.51</v>
      </c>
      <c r="M302" s="5">
        <v>1859251.09</v>
      </c>
      <c r="N302" s="5">
        <v>63506.39</v>
      </c>
      <c r="O302" s="5">
        <v>1824187.17</v>
      </c>
      <c r="P302" s="5">
        <v>1821907.04</v>
      </c>
      <c r="Q302" s="5">
        <v>2280.13</v>
      </c>
      <c r="R302" s="5">
        <v>206973.99</v>
      </c>
      <c r="S302" s="5">
        <v>337694.41</v>
      </c>
      <c r="T302" s="5">
        <v>43541.05</v>
      </c>
      <c r="U302" s="5">
        <v>29023</v>
      </c>
      <c r="V302" s="5">
        <v>7781.6</v>
      </c>
      <c r="W302" s="5">
        <v>1745.06</v>
      </c>
      <c r="X302" s="5">
        <v>2844.49</v>
      </c>
      <c r="Y302" s="4">
        <v>3822437</v>
      </c>
    </row>
    <row r="303" spans="1:25" ht="16.05" customHeight="1" x14ac:dyDescent="0.3">
      <c r="A303" s="7">
        <v>88</v>
      </c>
      <c r="B303" s="7">
        <v>2</v>
      </c>
      <c r="C303" s="7">
        <v>2022</v>
      </c>
      <c r="D303" s="8" t="s">
        <v>31</v>
      </c>
      <c r="E303" s="9">
        <v>5195</v>
      </c>
      <c r="F303" s="10">
        <v>183933889.09999999</v>
      </c>
      <c r="G303" s="10">
        <v>35646387.719999999</v>
      </c>
      <c r="H303" s="11">
        <v>19.38</v>
      </c>
      <c r="I303" s="11">
        <v>19.96</v>
      </c>
      <c r="J303" s="10">
        <v>2544.14</v>
      </c>
      <c r="K303" s="10">
        <v>8813.14</v>
      </c>
      <c r="L303" s="10">
        <v>183873504.90000001</v>
      </c>
      <c r="M303" s="10">
        <v>183911067.30000001</v>
      </c>
      <c r="N303" s="10">
        <v>60384.29</v>
      </c>
      <c r="O303" s="10">
        <v>183883504.5</v>
      </c>
      <c r="P303" s="10">
        <v>183878752.90000001</v>
      </c>
      <c r="Q303" s="10">
        <v>4751.53</v>
      </c>
      <c r="R303" s="10">
        <v>36713204.270000003</v>
      </c>
      <c r="S303" s="10">
        <v>-1066816.56</v>
      </c>
      <c r="T303" s="10">
        <v>115992.38</v>
      </c>
      <c r="U303" s="10">
        <v>25014.99</v>
      </c>
      <c r="V303" s="10">
        <v>4260.41</v>
      </c>
      <c r="W303" s="10">
        <v>5739.2</v>
      </c>
      <c r="X303" s="10">
        <v>2094.7800000000002</v>
      </c>
      <c r="Y303" s="9">
        <v>2136452</v>
      </c>
    </row>
    <row r="304" spans="1:25" ht="16.05" customHeight="1" x14ac:dyDescent="0.3">
      <c r="A304" s="2">
        <v>158</v>
      </c>
      <c r="B304" s="2">
        <v>3</v>
      </c>
      <c r="C304" s="2">
        <v>2022</v>
      </c>
      <c r="D304" s="3" t="s">
        <v>31</v>
      </c>
      <c r="E304" s="4">
        <v>476</v>
      </c>
      <c r="F304" s="5">
        <v>29830966.370000001</v>
      </c>
      <c r="G304" s="5">
        <v>3084521.92</v>
      </c>
      <c r="H304" s="6">
        <v>10.34</v>
      </c>
      <c r="I304" s="6">
        <v>8.4700000000000006</v>
      </c>
      <c r="J304" s="5">
        <v>6084.49</v>
      </c>
      <c r="K304" s="5">
        <v>5889.59</v>
      </c>
      <c r="L304" s="5">
        <v>29793351.370000001</v>
      </c>
      <c r="M304" s="5">
        <v>29808550.609999999</v>
      </c>
      <c r="N304" s="5">
        <v>37615</v>
      </c>
      <c r="O304" s="5">
        <v>29806701.559999999</v>
      </c>
      <c r="P304" s="5">
        <v>29794679.239999998</v>
      </c>
      <c r="Q304" s="5">
        <v>12022.32</v>
      </c>
      <c r="R304" s="5">
        <v>2526682.85</v>
      </c>
      <c r="S304" s="5">
        <v>557839.06999999995</v>
      </c>
      <c r="T304" s="5">
        <v>21753.27</v>
      </c>
      <c r="U304" s="5">
        <v>26194.92</v>
      </c>
      <c r="V304" s="5">
        <v>7824.3</v>
      </c>
      <c r="W304" s="5">
        <v>5525.89</v>
      </c>
      <c r="X304" s="5">
        <v>3910.56</v>
      </c>
      <c r="Y304" s="4">
        <v>4729975</v>
      </c>
    </row>
    <row r="305" spans="1:25" ht="16.05" customHeight="1" x14ac:dyDescent="0.3">
      <c r="A305" s="7">
        <v>228</v>
      </c>
      <c r="B305" s="7">
        <v>4</v>
      </c>
      <c r="C305" s="7">
        <v>2022</v>
      </c>
      <c r="D305" s="8" t="s">
        <v>31</v>
      </c>
      <c r="E305" s="9">
        <v>4044</v>
      </c>
      <c r="F305" s="10">
        <v>184000593.09999999</v>
      </c>
      <c r="G305" s="10">
        <v>32917706.109999999</v>
      </c>
      <c r="H305" s="11">
        <v>17.89</v>
      </c>
      <c r="I305" s="11">
        <v>19.86</v>
      </c>
      <c r="J305" s="10">
        <v>14176.31</v>
      </c>
      <c r="K305" s="10">
        <v>11059.34</v>
      </c>
      <c r="L305" s="10">
        <v>183982011.90000001</v>
      </c>
      <c r="M305" s="10">
        <v>183979314.19999999</v>
      </c>
      <c r="N305" s="10">
        <v>18581.28</v>
      </c>
      <c r="O305" s="10">
        <v>183991755.80000001</v>
      </c>
      <c r="P305" s="10">
        <v>183986098.80000001</v>
      </c>
      <c r="Q305" s="10">
        <v>5657.04</v>
      </c>
      <c r="R305" s="10">
        <v>36542517.799999997</v>
      </c>
      <c r="S305" s="10">
        <v>-3624811.68</v>
      </c>
      <c r="T305" s="10">
        <v>69019.8</v>
      </c>
      <c r="U305" s="10">
        <v>58347</v>
      </c>
      <c r="V305" s="10">
        <v>5421.67</v>
      </c>
      <c r="W305" s="10">
        <v>4322.32</v>
      </c>
      <c r="X305" s="10">
        <v>4886.6400000000003</v>
      </c>
      <c r="Y305" s="9">
        <v>4809395</v>
      </c>
    </row>
    <row r="306" spans="1:25" ht="16.05" customHeight="1" x14ac:dyDescent="0.3">
      <c r="A306" s="2">
        <v>298</v>
      </c>
      <c r="B306" s="2">
        <v>5</v>
      </c>
      <c r="C306" s="2">
        <v>2022</v>
      </c>
      <c r="D306" s="3" t="s">
        <v>31</v>
      </c>
      <c r="E306" s="4">
        <v>4191</v>
      </c>
      <c r="F306" s="5">
        <v>121244458</v>
      </c>
      <c r="G306" s="5">
        <v>34845657.219999999</v>
      </c>
      <c r="H306" s="6">
        <v>28.74</v>
      </c>
      <c r="I306" s="6">
        <v>17.16</v>
      </c>
      <c r="J306" s="5">
        <v>3552.36</v>
      </c>
      <c r="K306" s="5">
        <v>15052.28</v>
      </c>
      <c r="L306" s="5">
        <v>121219520.5</v>
      </c>
      <c r="M306" s="5">
        <v>121223330.7</v>
      </c>
      <c r="N306" s="5">
        <v>24937.46</v>
      </c>
      <c r="O306" s="5">
        <v>121231370.90000001</v>
      </c>
      <c r="P306" s="5">
        <v>121220681.5</v>
      </c>
      <c r="Q306" s="5">
        <v>10689.42</v>
      </c>
      <c r="R306" s="5">
        <v>20805548.989999998</v>
      </c>
      <c r="S306" s="5">
        <v>14040108.23</v>
      </c>
      <c r="T306" s="5">
        <v>65518.37</v>
      </c>
      <c r="U306" s="5">
        <v>25245.37</v>
      </c>
      <c r="V306" s="5">
        <v>8388.83</v>
      </c>
      <c r="W306" s="5">
        <v>3461.59</v>
      </c>
      <c r="X306" s="5">
        <v>1104.56</v>
      </c>
      <c r="Y306" s="4">
        <v>2875452</v>
      </c>
    </row>
    <row r="307" spans="1:25" ht="16.05" customHeight="1" x14ac:dyDescent="0.3">
      <c r="A307" s="7">
        <v>368</v>
      </c>
      <c r="B307" s="7">
        <v>6</v>
      </c>
      <c r="C307" s="7">
        <v>2022</v>
      </c>
      <c r="D307" s="8" t="s">
        <v>31</v>
      </c>
      <c r="E307" s="9">
        <v>4026</v>
      </c>
      <c r="F307" s="10">
        <v>158078904.59999999</v>
      </c>
      <c r="G307" s="10">
        <v>40009770.759999998</v>
      </c>
      <c r="H307" s="11">
        <v>25.31</v>
      </c>
      <c r="I307" s="11">
        <v>14.51</v>
      </c>
      <c r="J307" s="10">
        <v>4439.9799999999996</v>
      </c>
      <c r="K307" s="10">
        <v>17698.5</v>
      </c>
      <c r="L307" s="10">
        <v>158068405.09999999</v>
      </c>
      <c r="M307" s="10">
        <v>158053915.80000001</v>
      </c>
      <c r="N307" s="10">
        <v>10499.55</v>
      </c>
      <c r="O307" s="10">
        <v>158077356.69999999</v>
      </c>
      <c r="P307" s="10">
        <v>158070833.90000001</v>
      </c>
      <c r="Q307" s="10">
        <v>6522.85</v>
      </c>
      <c r="R307" s="10">
        <v>22937249.059999999</v>
      </c>
      <c r="S307" s="10">
        <v>17072521.699999999</v>
      </c>
      <c r="T307" s="10">
        <v>32634.880000000001</v>
      </c>
      <c r="U307" s="10">
        <v>37863.93</v>
      </c>
      <c r="V307" s="10">
        <v>2562.04</v>
      </c>
      <c r="W307" s="10">
        <v>6389.57</v>
      </c>
      <c r="X307" s="10">
        <v>4130.97</v>
      </c>
      <c r="Y307" s="9">
        <v>2685172</v>
      </c>
    </row>
    <row r="308" spans="1:25" ht="16.05" customHeight="1" x14ac:dyDescent="0.3">
      <c r="A308" s="2">
        <v>438</v>
      </c>
      <c r="B308" s="2">
        <v>7</v>
      </c>
      <c r="C308" s="2">
        <v>2022</v>
      </c>
      <c r="D308" s="3" t="s">
        <v>31</v>
      </c>
      <c r="E308" s="4">
        <v>2510</v>
      </c>
      <c r="F308" s="5">
        <v>102497676</v>
      </c>
      <c r="G308" s="5">
        <v>22139498.010000002</v>
      </c>
      <c r="H308" s="6">
        <v>21.6</v>
      </c>
      <c r="I308" s="6">
        <v>6.69</v>
      </c>
      <c r="J308" s="5">
        <v>11863.61</v>
      </c>
      <c r="K308" s="5">
        <v>2199.77</v>
      </c>
      <c r="L308" s="5">
        <v>102475696.59999999</v>
      </c>
      <c r="M308" s="5">
        <v>102474373.59999999</v>
      </c>
      <c r="N308" s="5">
        <v>21979.41</v>
      </c>
      <c r="O308" s="5">
        <v>102488610</v>
      </c>
      <c r="P308" s="5">
        <v>102473835.3</v>
      </c>
      <c r="Q308" s="5">
        <v>14774.69</v>
      </c>
      <c r="R308" s="5">
        <v>6857094.5199999996</v>
      </c>
      <c r="S308" s="5">
        <v>15282403.49</v>
      </c>
      <c r="T308" s="5">
        <v>49292.95</v>
      </c>
      <c r="U308" s="5">
        <v>21804.33</v>
      </c>
      <c r="V308" s="5">
        <v>8108.26</v>
      </c>
      <c r="W308" s="5">
        <v>4805.1400000000003</v>
      </c>
      <c r="X308" s="5">
        <v>2486.39</v>
      </c>
      <c r="Y308" s="4">
        <v>4254794</v>
      </c>
    </row>
    <row r="309" spans="1:25" ht="16.05" customHeight="1" x14ac:dyDescent="0.3">
      <c r="A309" s="7">
        <v>508</v>
      </c>
      <c r="B309" s="7">
        <v>8</v>
      </c>
      <c r="C309" s="7">
        <v>2022</v>
      </c>
      <c r="D309" s="8" t="s">
        <v>31</v>
      </c>
      <c r="E309" s="9">
        <v>6424</v>
      </c>
      <c r="F309" s="10">
        <v>372735282.10000002</v>
      </c>
      <c r="G309" s="10">
        <v>52965683.579999998</v>
      </c>
      <c r="H309" s="11">
        <v>14.21</v>
      </c>
      <c r="I309" s="11">
        <v>6.49</v>
      </c>
      <c r="J309" s="10">
        <v>2418.7399999999998</v>
      </c>
      <c r="K309" s="10">
        <v>2699.34</v>
      </c>
      <c r="L309" s="10">
        <v>372640423.39999998</v>
      </c>
      <c r="M309" s="10">
        <v>372730299.5</v>
      </c>
      <c r="N309" s="10">
        <v>94858.63</v>
      </c>
      <c r="O309" s="10">
        <v>372647360.19999999</v>
      </c>
      <c r="P309" s="10">
        <v>372637966.60000002</v>
      </c>
      <c r="Q309" s="10">
        <v>9393.59</v>
      </c>
      <c r="R309" s="10">
        <v>24190519.809999999</v>
      </c>
      <c r="S309" s="10">
        <v>28775163.780000001</v>
      </c>
      <c r="T309" s="10">
        <v>101524.08</v>
      </c>
      <c r="U309" s="10">
        <v>43954.48</v>
      </c>
      <c r="V309" s="10">
        <v>6273.49</v>
      </c>
      <c r="W309" s="10">
        <v>663.3</v>
      </c>
      <c r="X309" s="10">
        <v>1130.23</v>
      </c>
      <c r="Y309" s="9">
        <v>2919455</v>
      </c>
    </row>
    <row r="310" spans="1:25" ht="16.05" customHeight="1" x14ac:dyDescent="0.3">
      <c r="A310" s="2">
        <v>578</v>
      </c>
      <c r="B310" s="2">
        <v>9</v>
      </c>
      <c r="C310" s="2">
        <v>2022</v>
      </c>
      <c r="D310" s="3" t="s">
        <v>31</v>
      </c>
      <c r="E310" s="4">
        <v>3373</v>
      </c>
      <c r="F310" s="5">
        <v>94116573.799999997</v>
      </c>
      <c r="G310" s="5">
        <v>19820950.440000001</v>
      </c>
      <c r="H310" s="6">
        <v>21.06</v>
      </c>
      <c r="I310" s="6">
        <v>5.54</v>
      </c>
      <c r="J310" s="5">
        <v>7011.97</v>
      </c>
      <c r="K310" s="5">
        <v>7914.05</v>
      </c>
      <c r="L310" s="5">
        <v>94047184.900000006</v>
      </c>
      <c r="M310" s="5">
        <v>94093484.239999995</v>
      </c>
      <c r="N310" s="5">
        <v>69388.899999999994</v>
      </c>
      <c r="O310" s="5">
        <v>94057265.920000002</v>
      </c>
      <c r="P310" s="5">
        <v>94051175.299999997</v>
      </c>
      <c r="Q310" s="5">
        <v>6090.62</v>
      </c>
      <c r="R310" s="5">
        <v>5214058.1900000004</v>
      </c>
      <c r="S310" s="5">
        <v>14606892.25</v>
      </c>
      <c r="T310" s="5">
        <v>85135.77</v>
      </c>
      <c r="U310" s="5">
        <v>33297.089999999997</v>
      </c>
      <c r="V310" s="5">
        <v>7478.01</v>
      </c>
      <c r="W310" s="5">
        <v>2603.0100000000002</v>
      </c>
      <c r="X310" s="5">
        <v>2390.9899999999998</v>
      </c>
      <c r="Y310" s="4">
        <v>4646957</v>
      </c>
    </row>
    <row r="311" spans="1:25" ht="16.05" customHeight="1" x14ac:dyDescent="0.3">
      <c r="A311" s="7">
        <v>648</v>
      </c>
      <c r="B311" s="7">
        <v>10</v>
      </c>
      <c r="C311" s="7">
        <v>2022</v>
      </c>
      <c r="D311" s="8" t="s">
        <v>31</v>
      </c>
      <c r="E311" s="9">
        <v>2617</v>
      </c>
      <c r="F311" s="10">
        <v>146928786.40000001</v>
      </c>
      <c r="G311" s="10">
        <v>42712198.219999999</v>
      </c>
      <c r="H311" s="11">
        <v>29.07</v>
      </c>
      <c r="I311" s="11">
        <v>15.77</v>
      </c>
      <c r="J311" s="10">
        <v>1912.95</v>
      </c>
      <c r="K311" s="10">
        <v>4301.6899999999996</v>
      </c>
      <c r="L311" s="10">
        <v>146910269</v>
      </c>
      <c r="M311" s="10">
        <v>146904020.09999999</v>
      </c>
      <c r="N311" s="10">
        <v>18517.41</v>
      </c>
      <c r="O311" s="10">
        <v>146913174.69999999</v>
      </c>
      <c r="P311" s="10">
        <v>146905772.5</v>
      </c>
      <c r="Q311" s="10">
        <v>7402.23</v>
      </c>
      <c r="R311" s="10">
        <v>23170669.620000001</v>
      </c>
      <c r="S311" s="10">
        <v>19541528.600000001</v>
      </c>
      <c r="T311" s="10">
        <v>96381.62</v>
      </c>
      <c r="U311" s="10">
        <v>6016.71</v>
      </c>
      <c r="V311" s="10">
        <v>2144.87</v>
      </c>
      <c r="W311" s="10">
        <v>760.81</v>
      </c>
      <c r="X311" s="10">
        <v>3844.74</v>
      </c>
      <c r="Y311" s="9">
        <v>2852032</v>
      </c>
    </row>
    <row r="312" spans="1:25" ht="16.05" customHeight="1" x14ac:dyDescent="0.3">
      <c r="A312" s="2">
        <v>718</v>
      </c>
      <c r="B312" s="2">
        <v>11</v>
      </c>
      <c r="C312" s="2">
        <v>2022</v>
      </c>
      <c r="D312" s="3" t="s">
        <v>31</v>
      </c>
      <c r="E312" s="4">
        <v>127</v>
      </c>
      <c r="F312" s="5">
        <v>2451666.58</v>
      </c>
      <c r="G312" s="5">
        <v>553831.48</v>
      </c>
      <c r="H312" s="6">
        <v>22.59</v>
      </c>
      <c r="I312" s="6">
        <v>15.16</v>
      </c>
      <c r="J312" s="5">
        <v>1961.53</v>
      </c>
      <c r="K312" s="5">
        <v>15933.93</v>
      </c>
      <c r="L312" s="5">
        <v>2404691.7200000002</v>
      </c>
      <c r="M312" s="5">
        <v>2433736.17</v>
      </c>
      <c r="N312" s="5">
        <v>46974.86</v>
      </c>
      <c r="O312" s="5">
        <v>2410333.36</v>
      </c>
      <c r="P312" s="5">
        <v>2403322.61</v>
      </c>
      <c r="Q312" s="5">
        <v>7010.75</v>
      </c>
      <c r="R312" s="5">
        <v>371672.65</v>
      </c>
      <c r="S312" s="5">
        <v>182158.83</v>
      </c>
      <c r="T312" s="5">
        <v>82834.64</v>
      </c>
      <c r="U312" s="5">
        <v>21135.82</v>
      </c>
      <c r="V312" s="5">
        <v>4263.05</v>
      </c>
      <c r="W312" s="5">
        <v>1378.59</v>
      </c>
      <c r="X312" s="5">
        <v>4526.42</v>
      </c>
      <c r="Y312" s="4">
        <v>4752898</v>
      </c>
    </row>
    <row r="313" spans="1:25" ht="16.05" customHeight="1" x14ac:dyDescent="0.3">
      <c r="A313" s="7">
        <v>788</v>
      </c>
      <c r="B313" s="7">
        <v>12</v>
      </c>
      <c r="C313" s="7">
        <v>2022</v>
      </c>
      <c r="D313" s="8" t="s">
        <v>31</v>
      </c>
      <c r="E313" s="9">
        <v>2201</v>
      </c>
      <c r="F313" s="10">
        <v>88434544.019999996</v>
      </c>
      <c r="G313" s="10">
        <v>8816924.0399999991</v>
      </c>
      <c r="H313" s="11">
        <v>9.9700000000000006</v>
      </c>
      <c r="I313" s="11">
        <v>19.52</v>
      </c>
      <c r="J313" s="10">
        <v>13570.6</v>
      </c>
      <c r="K313" s="10">
        <v>13198.33</v>
      </c>
      <c r="L313" s="10">
        <v>88379720.870000005</v>
      </c>
      <c r="M313" s="10">
        <v>88415241.959999993</v>
      </c>
      <c r="N313" s="10">
        <v>54823.15</v>
      </c>
      <c r="O313" s="10">
        <v>88389933.719999999</v>
      </c>
      <c r="P313" s="10">
        <v>88375125.450000003</v>
      </c>
      <c r="Q313" s="10">
        <v>14808.27</v>
      </c>
      <c r="R313" s="10">
        <v>17262422.989999998</v>
      </c>
      <c r="S313" s="10">
        <v>-8445498.9499999993</v>
      </c>
      <c r="T313" s="10">
        <v>97721.2</v>
      </c>
      <c r="U313" s="10">
        <v>26339.8</v>
      </c>
      <c r="V313" s="10">
        <v>9320.61</v>
      </c>
      <c r="W313" s="10">
        <v>892.24</v>
      </c>
      <c r="X313" s="10">
        <v>1863.69</v>
      </c>
      <c r="Y313" s="9">
        <v>4237145</v>
      </c>
    </row>
    <row r="314" spans="1:25" ht="16.05" customHeight="1" x14ac:dyDescent="0.3">
      <c r="A314" s="2">
        <v>858</v>
      </c>
      <c r="B314" s="2">
        <v>13</v>
      </c>
      <c r="C314" s="2">
        <v>2022</v>
      </c>
      <c r="D314" s="3" t="s">
        <v>31</v>
      </c>
      <c r="E314" s="4">
        <v>6873</v>
      </c>
      <c r="F314" s="5">
        <v>230021536.59999999</v>
      </c>
      <c r="G314" s="5">
        <v>33100099.120000001</v>
      </c>
      <c r="H314" s="6">
        <v>14.39</v>
      </c>
      <c r="I314" s="6">
        <v>18.57</v>
      </c>
      <c r="J314" s="5">
        <v>1946.6</v>
      </c>
      <c r="K314" s="5">
        <v>16191.9</v>
      </c>
      <c r="L314" s="5">
        <v>229948999.19999999</v>
      </c>
      <c r="M314" s="5">
        <v>230005567.19999999</v>
      </c>
      <c r="N314" s="5">
        <v>72537.37</v>
      </c>
      <c r="O314" s="5">
        <v>229966363.5</v>
      </c>
      <c r="P314" s="5">
        <v>229960553.90000001</v>
      </c>
      <c r="Q314" s="5">
        <v>5809.57</v>
      </c>
      <c r="R314" s="5">
        <v>42714999.350000001</v>
      </c>
      <c r="S314" s="5">
        <v>-9614900.2300000004</v>
      </c>
      <c r="T314" s="5">
        <v>117544.65</v>
      </c>
      <c r="U314" s="5">
        <v>11948.79</v>
      </c>
      <c r="V314" s="5">
        <v>10608.45</v>
      </c>
      <c r="W314" s="5">
        <v>6755.81</v>
      </c>
      <c r="X314" s="5">
        <v>2512.4499999999998</v>
      </c>
      <c r="Y314" s="4">
        <v>3424374</v>
      </c>
    </row>
    <row r="315" spans="1:25" ht="16.05" customHeight="1" x14ac:dyDescent="0.3">
      <c r="A315" s="7">
        <v>928</v>
      </c>
      <c r="B315" s="7">
        <v>14</v>
      </c>
      <c r="C315" s="7">
        <v>2022</v>
      </c>
      <c r="D315" s="8" t="s">
        <v>31</v>
      </c>
      <c r="E315" s="9">
        <v>4349</v>
      </c>
      <c r="F315" s="10">
        <v>150694874.90000001</v>
      </c>
      <c r="G315" s="10">
        <v>36422951.259999998</v>
      </c>
      <c r="H315" s="11">
        <v>24.17</v>
      </c>
      <c r="I315" s="11">
        <v>7.29</v>
      </c>
      <c r="J315" s="10">
        <v>4100.6499999999996</v>
      </c>
      <c r="K315" s="10">
        <v>6373.97</v>
      </c>
      <c r="L315" s="10">
        <v>150613176.69999999</v>
      </c>
      <c r="M315" s="10">
        <v>150684354.19999999</v>
      </c>
      <c r="N315" s="10">
        <v>81698.240000000005</v>
      </c>
      <c r="O315" s="10">
        <v>150628666.09999999</v>
      </c>
      <c r="P315" s="10">
        <v>150617846.30000001</v>
      </c>
      <c r="Q315" s="10">
        <v>10819.78</v>
      </c>
      <c r="R315" s="10">
        <v>10985656.380000001</v>
      </c>
      <c r="S315" s="10">
        <v>25437294.879999999</v>
      </c>
      <c r="T315" s="10">
        <v>11876.67</v>
      </c>
      <c r="U315" s="10">
        <v>6180.88</v>
      </c>
      <c r="V315" s="10">
        <v>9050.06</v>
      </c>
      <c r="W315" s="10">
        <v>6439.38</v>
      </c>
      <c r="X315" s="10">
        <v>1854.12</v>
      </c>
      <c r="Y315" s="9">
        <v>1326393</v>
      </c>
    </row>
    <row r="316" spans="1:25" ht="16.05" customHeight="1" x14ac:dyDescent="0.3">
      <c r="A316" s="2">
        <v>998</v>
      </c>
      <c r="B316" s="2">
        <v>15</v>
      </c>
      <c r="C316" s="2">
        <v>2022</v>
      </c>
      <c r="D316" s="3" t="s">
        <v>31</v>
      </c>
      <c r="E316" s="4">
        <v>6543</v>
      </c>
      <c r="F316" s="5">
        <v>270368874.30000001</v>
      </c>
      <c r="G316" s="5">
        <v>34742400.350000001</v>
      </c>
      <c r="H316" s="6">
        <v>12.85</v>
      </c>
      <c r="I316" s="6">
        <v>5.73</v>
      </c>
      <c r="J316" s="5">
        <v>12719.31</v>
      </c>
      <c r="K316" s="5">
        <v>13347.15</v>
      </c>
      <c r="L316" s="5">
        <v>270318778.80000001</v>
      </c>
      <c r="M316" s="5">
        <v>270364983.30000001</v>
      </c>
      <c r="N316" s="5">
        <v>50095.49</v>
      </c>
      <c r="O316" s="5">
        <v>270328894</v>
      </c>
      <c r="P316" s="5">
        <v>270323588.19999999</v>
      </c>
      <c r="Q316" s="5">
        <v>5305.8</v>
      </c>
      <c r="R316" s="5">
        <v>15492136.5</v>
      </c>
      <c r="S316" s="5">
        <v>19250263.850000001</v>
      </c>
      <c r="T316" s="5">
        <v>85621.51</v>
      </c>
      <c r="U316" s="5">
        <v>10134.27</v>
      </c>
      <c r="V316" s="5">
        <v>6554.22</v>
      </c>
      <c r="W316" s="5">
        <v>3561</v>
      </c>
      <c r="X316" s="5">
        <v>4115.03</v>
      </c>
      <c r="Y316" s="4">
        <v>3227776</v>
      </c>
    </row>
    <row r="317" spans="1:25" ht="16.05" customHeight="1" x14ac:dyDescent="0.3">
      <c r="A317" s="7">
        <v>1068</v>
      </c>
      <c r="B317" s="7">
        <v>16</v>
      </c>
      <c r="C317" s="7">
        <v>2022</v>
      </c>
      <c r="D317" s="8" t="s">
        <v>31</v>
      </c>
      <c r="E317" s="9">
        <v>354</v>
      </c>
      <c r="F317" s="10">
        <v>12954265.52</v>
      </c>
      <c r="G317" s="10">
        <v>2180202.89</v>
      </c>
      <c r="H317" s="11">
        <v>16.829999999999998</v>
      </c>
      <c r="I317" s="11">
        <v>17.579999999999998</v>
      </c>
      <c r="J317" s="10">
        <v>4430.84</v>
      </c>
      <c r="K317" s="10">
        <v>13505.86</v>
      </c>
      <c r="L317" s="10">
        <v>12887868.029999999</v>
      </c>
      <c r="M317" s="10">
        <v>12945889.51</v>
      </c>
      <c r="N317" s="10">
        <v>66397.490000000005</v>
      </c>
      <c r="O317" s="10">
        <v>12900764.74</v>
      </c>
      <c r="P317" s="10">
        <v>12887123.48</v>
      </c>
      <c r="Q317" s="10">
        <v>13641.26</v>
      </c>
      <c r="R317" s="10">
        <v>2277359.88</v>
      </c>
      <c r="S317" s="10">
        <v>-97156.99</v>
      </c>
      <c r="T317" s="10">
        <v>39436.94</v>
      </c>
      <c r="U317" s="10">
        <v>34399.35</v>
      </c>
      <c r="V317" s="10">
        <v>8105.61</v>
      </c>
      <c r="W317" s="10">
        <v>4791.1000000000004</v>
      </c>
      <c r="X317" s="10">
        <v>1893.81</v>
      </c>
      <c r="Y317" s="9">
        <v>2976530</v>
      </c>
    </row>
    <row r="318" spans="1:25" ht="16.05" customHeight="1" x14ac:dyDescent="0.3">
      <c r="A318" s="2">
        <v>1138</v>
      </c>
      <c r="B318" s="2">
        <v>17</v>
      </c>
      <c r="C318" s="2">
        <v>2022</v>
      </c>
      <c r="D318" s="3" t="s">
        <v>31</v>
      </c>
      <c r="E318" s="4">
        <v>1448</v>
      </c>
      <c r="F318" s="5">
        <v>60792141.299999997</v>
      </c>
      <c r="G318" s="5">
        <v>13787657.65</v>
      </c>
      <c r="H318" s="6">
        <v>22.68</v>
      </c>
      <c r="I318" s="6">
        <v>11.23</v>
      </c>
      <c r="J318" s="5">
        <v>5017.78</v>
      </c>
      <c r="K318" s="5">
        <v>6304.1</v>
      </c>
      <c r="L318" s="5">
        <v>60730623.850000001</v>
      </c>
      <c r="M318" s="5">
        <v>60780846.200000003</v>
      </c>
      <c r="N318" s="5">
        <v>61517.45</v>
      </c>
      <c r="O318" s="5">
        <v>60748160.469999999</v>
      </c>
      <c r="P318" s="5">
        <v>60737074.189999998</v>
      </c>
      <c r="Q318" s="5">
        <v>11086.28</v>
      </c>
      <c r="R318" s="5">
        <v>6826957.4699999997</v>
      </c>
      <c r="S318" s="5">
        <v>6960700.1799999997</v>
      </c>
      <c r="T318" s="5">
        <v>12404.41</v>
      </c>
      <c r="U318" s="5">
        <v>40730.74</v>
      </c>
      <c r="V318" s="5">
        <v>11977.12</v>
      </c>
      <c r="W318" s="5">
        <v>5559.5</v>
      </c>
      <c r="X318" s="5">
        <v>4306.3</v>
      </c>
      <c r="Y318" s="4">
        <v>3117861</v>
      </c>
    </row>
    <row r="319" spans="1:25" ht="16.05" customHeight="1" x14ac:dyDescent="0.3">
      <c r="A319" s="7">
        <v>1208</v>
      </c>
      <c r="B319" s="7">
        <v>18</v>
      </c>
      <c r="C319" s="7">
        <v>2022</v>
      </c>
      <c r="D319" s="8" t="s">
        <v>31</v>
      </c>
      <c r="E319" s="9">
        <v>5156</v>
      </c>
      <c r="F319" s="10">
        <v>152614256.09999999</v>
      </c>
      <c r="G319" s="10">
        <v>23670471.120000001</v>
      </c>
      <c r="H319" s="11">
        <v>15.51</v>
      </c>
      <c r="I319" s="11">
        <v>10.93</v>
      </c>
      <c r="J319" s="10">
        <v>13176.43</v>
      </c>
      <c r="K319" s="10">
        <v>13849.63</v>
      </c>
      <c r="L319" s="10">
        <v>152566459.09999999</v>
      </c>
      <c r="M319" s="10">
        <v>152605856.40000001</v>
      </c>
      <c r="N319" s="10">
        <v>47796.95</v>
      </c>
      <c r="O319" s="10">
        <v>152574327.09999999</v>
      </c>
      <c r="P319" s="10">
        <v>152572130.59999999</v>
      </c>
      <c r="Q319" s="10">
        <v>2196.5100000000002</v>
      </c>
      <c r="R319" s="10">
        <v>16680738.189999999</v>
      </c>
      <c r="S319" s="10">
        <v>6989732.9299999997</v>
      </c>
      <c r="T319" s="10">
        <v>76794.09</v>
      </c>
      <c r="U319" s="10">
        <v>54459.33</v>
      </c>
      <c r="V319" s="10">
        <v>3765.02</v>
      </c>
      <c r="W319" s="10">
        <v>4102.96</v>
      </c>
      <c r="X319" s="10">
        <v>3634.53</v>
      </c>
      <c r="Y319" s="9">
        <v>2046127</v>
      </c>
    </row>
    <row r="320" spans="1:25" ht="16.05" customHeight="1" x14ac:dyDescent="0.3">
      <c r="A320" s="2">
        <v>1278</v>
      </c>
      <c r="B320" s="2">
        <v>19</v>
      </c>
      <c r="C320" s="2">
        <v>2022</v>
      </c>
      <c r="D320" s="3" t="s">
        <v>31</v>
      </c>
      <c r="E320" s="4">
        <v>4195</v>
      </c>
      <c r="F320" s="5">
        <v>196976770</v>
      </c>
      <c r="G320" s="5">
        <v>52454913.850000001</v>
      </c>
      <c r="H320" s="6">
        <v>26.63</v>
      </c>
      <c r="I320" s="6">
        <v>19.66</v>
      </c>
      <c r="J320" s="5">
        <v>11329.36</v>
      </c>
      <c r="K320" s="5">
        <v>10783.67</v>
      </c>
      <c r="L320" s="5">
        <v>196932460.30000001</v>
      </c>
      <c r="M320" s="5">
        <v>196950754.59999999</v>
      </c>
      <c r="N320" s="5">
        <v>44309.71</v>
      </c>
      <c r="O320" s="5">
        <v>196942888.19999999</v>
      </c>
      <c r="P320" s="5">
        <v>196939594.80000001</v>
      </c>
      <c r="Q320" s="5">
        <v>3293.36</v>
      </c>
      <c r="R320" s="5">
        <v>38725632.979999997</v>
      </c>
      <c r="S320" s="5">
        <v>13729280.869999999</v>
      </c>
      <c r="T320" s="5">
        <v>97287.16</v>
      </c>
      <c r="U320" s="5">
        <v>32234.32</v>
      </c>
      <c r="V320" s="5">
        <v>9571.4699999999993</v>
      </c>
      <c r="W320" s="5">
        <v>856.42</v>
      </c>
      <c r="X320" s="5">
        <v>2064.33</v>
      </c>
      <c r="Y320" s="4">
        <v>3234530</v>
      </c>
    </row>
    <row r="321" spans="1:25" ht="16.05" customHeight="1" x14ac:dyDescent="0.3">
      <c r="A321" s="7">
        <v>1348</v>
      </c>
      <c r="B321" s="7">
        <v>20</v>
      </c>
      <c r="C321" s="7">
        <v>2022</v>
      </c>
      <c r="D321" s="8" t="s">
        <v>31</v>
      </c>
      <c r="E321" s="9">
        <v>4177</v>
      </c>
      <c r="F321" s="10">
        <v>151938068.90000001</v>
      </c>
      <c r="G321" s="10">
        <v>21560011.969999999</v>
      </c>
      <c r="H321" s="11">
        <v>14.19</v>
      </c>
      <c r="I321" s="11">
        <v>8.4</v>
      </c>
      <c r="J321" s="10">
        <v>7496.08</v>
      </c>
      <c r="K321" s="10">
        <v>8944.1200000000008</v>
      </c>
      <c r="L321" s="10">
        <v>151891140.59999999</v>
      </c>
      <c r="M321" s="10">
        <v>151927493.59999999</v>
      </c>
      <c r="N321" s="10">
        <v>46928.3</v>
      </c>
      <c r="O321" s="10">
        <v>151895736.69999999</v>
      </c>
      <c r="P321" s="10">
        <v>151892158.19999999</v>
      </c>
      <c r="Q321" s="10">
        <v>3578.5</v>
      </c>
      <c r="R321" s="10">
        <v>12762797.779999999</v>
      </c>
      <c r="S321" s="10">
        <v>8797214.1899999995</v>
      </c>
      <c r="T321" s="10">
        <v>22592.49</v>
      </c>
      <c r="U321" s="10">
        <v>41309.22</v>
      </c>
      <c r="V321" s="10">
        <v>2334.11</v>
      </c>
      <c r="W321" s="10">
        <v>2262.04</v>
      </c>
      <c r="X321" s="10">
        <v>2953.34</v>
      </c>
      <c r="Y321" s="9">
        <v>2599452</v>
      </c>
    </row>
    <row r="322" spans="1:25" ht="16.05" customHeight="1" x14ac:dyDescent="0.3">
      <c r="A322" s="2">
        <v>1418</v>
      </c>
      <c r="B322" s="2">
        <v>21</v>
      </c>
      <c r="C322" s="2">
        <v>2022</v>
      </c>
      <c r="D322" s="3" t="s">
        <v>31</v>
      </c>
      <c r="E322" s="4">
        <v>263</v>
      </c>
      <c r="F322" s="5">
        <v>4704799.8600000003</v>
      </c>
      <c r="G322" s="5">
        <v>1031292.13</v>
      </c>
      <c r="H322" s="6">
        <v>21.92</v>
      </c>
      <c r="I322" s="6">
        <v>17.54</v>
      </c>
      <c r="J322" s="5">
        <v>7930.77</v>
      </c>
      <c r="K322" s="5">
        <v>10473.049999999999</v>
      </c>
      <c r="L322" s="5">
        <v>4653671.6399999997</v>
      </c>
      <c r="M322" s="5">
        <v>4684126.66</v>
      </c>
      <c r="N322" s="5">
        <v>51128.22</v>
      </c>
      <c r="O322" s="5">
        <v>4661963.9400000004</v>
      </c>
      <c r="P322" s="5">
        <v>4653799.34</v>
      </c>
      <c r="Q322" s="5">
        <v>8164.6</v>
      </c>
      <c r="R322" s="5">
        <v>825221.9</v>
      </c>
      <c r="S322" s="5">
        <v>206070.23</v>
      </c>
      <c r="T322" s="5">
        <v>88122.58</v>
      </c>
      <c r="U322" s="5">
        <v>27780.05</v>
      </c>
      <c r="V322" s="5">
        <v>1549.3</v>
      </c>
      <c r="W322" s="5">
        <v>6743</v>
      </c>
      <c r="X322" s="5">
        <v>1128.52</v>
      </c>
      <c r="Y322" s="4">
        <v>1819267</v>
      </c>
    </row>
    <row r="323" spans="1:25" ht="16.05" customHeight="1" x14ac:dyDescent="0.3">
      <c r="A323" s="7">
        <v>1488</v>
      </c>
      <c r="B323" s="7">
        <v>22</v>
      </c>
      <c r="C323" s="7">
        <v>2022</v>
      </c>
      <c r="D323" s="8" t="s">
        <v>31</v>
      </c>
      <c r="E323" s="9">
        <v>3297</v>
      </c>
      <c r="F323" s="10">
        <v>137474364.80000001</v>
      </c>
      <c r="G323" s="10">
        <v>14641019.85</v>
      </c>
      <c r="H323" s="11">
        <v>10.65</v>
      </c>
      <c r="I323" s="11">
        <v>5.1100000000000003</v>
      </c>
      <c r="J323" s="10">
        <v>6239.32</v>
      </c>
      <c r="K323" s="10">
        <v>5956.41</v>
      </c>
      <c r="L323" s="10">
        <v>137438882.09999999</v>
      </c>
      <c r="M323" s="10">
        <v>137464566.09999999</v>
      </c>
      <c r="N323" s="10">
        <v>35482.71</v>
      </c>
      <c r="O323" s="10">
        <v>137454094.90000001</v>
      </c>
      <c r="P323" s="10">
        <v>137445272.80000001</v>
      </c>
      <c r="Q323" s="10">
        <v>8822.1</v>
      </c>
      <c r="R323" s="10">
        <v>7024940.04</v>
      </c>
      <c r="S323" s="10">
        <v>7616079.8099999996</v>
      </c>
      <c r="T323" s="10">
        <v>98070.720000000001</v>
      </c>
      <c r="U323" s="10">
        <v>39174.519999999997</v>
      </c>
      <c r="V323" s="10">
        <v>7239.7</v>
      </c>
      <c r="W323" s="10">
        <v>7973.11</v>
      </c>
      <c r="X323" s="10">
        <v>2701.65</v>
      </c>
      <c r="Y323" s="9">
        <v>2865518</v>
      </c>
    </row>
    <row r="324" spans="1:25" ht="16.05" customHeight="1" x14ac:dyDescent="0.3">
      <c r="A324" s="2">
        <v>1558</v>
      </c>
      <c r="B324" s="2">
        <v>23</v>
      </c>
      <c r="C324" s="2">
        <v>2022</v>
      </c>
      <c r="D324" s="3" t="s">
        <v>31</v>
      </c>
      <c r="E324" s="4">
        <v>2816</v>
      </c>
      <c r="F324" s="5">
        <v>64599330.82</v>
      </c>
      <c r="G324" s="5">
        <v>6304894.6900000004</v>
      </c>
      <c r="H324" s="6">
        <v>9.76</v>
      </c>
      <c r="I324" s="6">
        <v>9.5</v>
      </c>
      <c r="J324" s="5">
        <v>5988.3</v>
      </c>
      <c r="K324" s="5">
        <v>13841.74</v>
      </c>
      <c r="L324" s="5">
        <v>64559512.920000002</v>
      </c>
      <c r="M324" s="5">
        <v>64583754.5</v>
      </c>
      <c r="N324" s="5">
        <v>39817.9</v>
      </c>
      <c r="O324" s="5">
        <v>64573794.549999997</v>
      </c>
      <c r="P324" s="5">
        <v>64564653.689999998</v>
      </c>
      <c r="Q324" s="5">
        <v>9140.86</v>
      </c>
      <c r="R324" s="5">
        <v>6136936.4299999997</v>
      </c>
      <c r="S324" s="5">
        <v>167958.26</v>
      </c>
      <c r="T324" s="5">
        <v>15818.5</v>
      </c>
      <c r="U324" s="5">
        <v>30721.39</v>
      </c>
      <c r="V324" s="5">
        <v>10014.14</v>
      </c>
      <c r="W324" s="5">
        <v>4267.49</v>
      </c>
      <c r="X324" s="5">
        <v>2435.17</v>
      </c>
      <c r="Y324" s="4">
        <v>3389635</v>
      </c>
    </row>
    <row r="325" spans="1:25" ht="16.05" customHeight="1" x14ac:dyDescent="0.3">
      <c r="A325" s="7">
        <v>1628</v>
      </c>
      <c r="B325" s="7">
        <v>24</v>
      </c>
      <c r="C325" s="7">
        <v>2022</v>
      </c>
      <c r="D325" s="8" t="s">
        <v>31</v>
      </c>
      <c r="E325" s="9">
        <v>177</v>
      </c>
      <c r="F325" s="10">
        <v>4015157.37</v>
      </c>
      <c r="G325" s="10">
        <v>638811.54</v>
      </c>
      <c r="H325" s="11">
        <v>15.91</v>
      </c>
      <c r="I325" s="11">
        <v>8.1999999999999993</v>
      </c>
      <c r="J325" s="10">
        <v>11943.72</v>
      </c>
      <c r="K325" s="10">
        <v>11851.78</v>
      </c>
      <c r="L325" s="10">
        <v>3999963.16</v>
      </c>
      <c r="M325" s="10">
        <v>4003726.45</v>
      </c>
      <c r="N325" s="10">
        <v>15194.21</v>
      </c>
      <c r="O325" s="10">
        <v>4007159.86</v>
      </c>
      <c r="P325" s="10">
        <v>3999713.85</v>
      </c>
      <c r="Q325" s="10">
        <v>7446.01</v>
      </c>
      <c r="R325" s="10">
        <v>329242.90000000002</v>
      </c>
      <c r="S325" s="10">
        <v>309568.63</v>
      </c>
      <c r="T325" s="10">
        <v>70032.759999999995</v>
      </c>
      <c r="U325" s="10">
        <v>28168.86</v>
      </c>
      <c r="V325" s="10">
        <v>2715.16</v>
      </c>
      <c r="W325" s="10">
        <v>4481.54</v>
      </c>
      <c r="X325" s="10">
        <v>2851.74</v>
      </c>
      <c r="Y325" s="9">
        <v>4028042</v>
      </c>
    </row>
    <row r="326" spans="1:25" ht="16.05" customHeight="1" x14ac:dyDescent="0.3">
      <c r="A326" s="2">
        <v>1698</v>
      </c>
      <c r="B326" s="2">
        <v>25</v>
      </c>
      <c r="C326" s="2">
        <v>2022</v>
      </c>
      <c r="D326" s="3" t="s">
        <v>31</v>
      </c>
      <c r="E326" s="4">
        <v>5841</v>
      </c>
      <c r="F326" s="5">
        <v>139610875.69999999</v>
      </c>
      <c r="G326" s="5">
        <v>16725382.91</v>
      </c>
      <c r="H326" s="6">
        <v>11.98</v>
      </c>
      <c r="I326" s="6">
        <v>7.2</v>
      </c>
      <c r="J326" s="5">
        <v>7260.56</v>
      </c>
      <c r="K326" s="5">
        <v>10026.629999999999</v>
      </c>
      <c r="L326" s="5">
        <v>139594275.19999999</v>
      </c>
      <c r="M326" s="5">
        <v>139594673.80000001</v>
      </c>
      <c r="N326" s="5">
        <v>16600.48</v>
      </c>
      <c r="O326" s="5">
        <v>139608406.80000001</v>
      </c>
      <c r="P326" s="5">
        <v>139597307.40000001</v>
      </c>
      <c r="Q326" s="5">
        <v>11099.39</v>
      </c>
      <c r="R326" s="5">
        <v>10051983.050000001</v>
      </c>
      <c r="S326" s="5">
        <v>6673399.8600000003</v>
      </c>
      <c r="T326" s="5">
        <v>88604.63</v>
      </c>
      <c r="U326" s="5">
        <v>11668.79</v>
      </c>
      <c r="V326" s="5">
        <v>8229.81</v>
      </c>
      <c r="W326" s="5">
        <v>5901.74</v>
      </c>
      <c r="X326" s="5">
        <v>2911.42</v>
      </c>
      <c r="Y326" s="4">
        <v>1994509</v>
      </c>
    </row>
    <row r="327" spans="1:25" ht="16.05" customHeight="1" x14ac:dyDescent="0.3">
      <c r="A327" s="7">
        <v>1768</v>
      </c>
      <c r="B327" s="7">
        <v>26</v>
      </c>
      <c r="C327" s="7">
        <v>2022</v>
      </c>
      <c r="D327" s="8" t="s">
        <v>31</v>
      </c>
      <c r="E327" s="9">
        <v>2728</v>
      </c>
      <c r="F327" s="10">
        <v>164040791</v>
      </c>
      <c r="G327" s="10">
        <v>21292494.68</v>
      </c>
      <c r="H327" s="11">
        <v>12.98</v>
      </c>
      <c r="I327" s="11">
        <v>10.119999999999999</v>
      </c>
      <c r="J327" s="10">
        <v>11612.83</v>
      </c>
      <c r="K327" s="10">
        <v>18612.849999999999</v>
      </c>
      <c r="L327" s="10">
        <v>163969491.69999999</v>
      </c>
      <c r="M327" s="10">
        <v>164028358</v>
      </c>
      <c r="N327" s="10">
        <v>71299.28</v>
      </c>
      <c r="O327" s="10">
        <v>163978352</v>
      </c>
      <c r="P327" s="10">
        <v>163977141.40000001</v>
      </c>
      <c r="Q327" s="10">
        <v>1210.6400000000001</v>
      </c>
      <c r="R327" s="10">
        <v>16600928.050000001</v>
      </c>
      <c r="S327" s="10">
        <v>4691566.62</v>
      </c>
      <c r="T327" s="10">
        <v>118693</v>
      </c>
      <c r="U327" s="10">
        <v>35151.81</v>
      </c>
      <c r="V327" s="10">
        <v>4070.16</v>
      </c>
      <c r="W327" s="10">
        <v>4790.12</v>
      </c>
      <c r="X327" s="10">
        <v>1221.1600000000001</v>
      </c>
      <c r="Y327" s="9">
        <v>3471142</v>
      </c>
    </row>
    <row r="328" spans="1:25" ht="16.05" customHeight="1" x14ac:dyDescent="0.3">
      <c r="A328" s="2">
        <v>1838</v>
      </c>
      <c r="B328" s="2">
        <v>27</v>
      </c>
      <c r="C328" s="2">
        <v>2022</v>
      </c>
      <c r="D328" s="3" t="s">
        <v>31</v>
      </c>
      <c r="E328" s="4">
        <v>1044</v>
      </c>
      <c r="F328" s="5">
        <v>60335379.149999999</v>
      </c>
      <c r="G328" s="5">
        <v>3439116.61</v>
      </c>
      <c r="H328" s="6">
        <v>5.7</v>
      </c>
      <c r="I328" s="6">
        <v>18.53</v>
      </c>
      <c r="J328" s="5">
        <v>2461.89</v>
      </c>
      <c r="K328" s="5">
        <v>8036.88</v>
      </c>
      <c r="L328" s="5">
        <v>60274296.93</v>
      </c>
      <c r="M328" s="5">
        <v>60317862.229999997</v>
      </c>
      <c r="N328" s="5">
        <v>61082.22</v>
      </c>
      <c r="O328" s="5">
        <v>60282402.719999999</v>
      </c>
      <c r="P328" s="5">
        <v>60275990.770000003</v>
      </c>
      <c r="Q328" s="5">
        <v>6411.95</v>
      </c>
      <c r="R328" s="5">
        <v>11180145.76</v>
      </c>
      <c r="S328" s="5">
        <v>-7741029.1399999997</v>
      </c>
      <c r="T328" s="5">
        <v>28031.63</v>
      </c>
      <c r="U328" s="5">
        <v>56524.35</v>
      </c>
      <c r="V328" s="5">
        <v>5763.75</v>
      </c>
      <c r="W328" s="5">
        <v>2342.04</v>
      </c>
      <c r="X328" s="5">
        <v>3090.81</v>
      </c>
      <c r="Y328" s="4">
        <v>3504436</v>
      </c>
    </row>
    <row r="329" spans="1:25" ht="16.05" customHeight="1" x14ac:dyDescent="0.3">
      <c r="A329" s="7">
        <v>1908</v>
      </c>
      <c r="B329" s="7">
        <v>28</v>
      </c>
      <c r="C329" s="7">
        <v>2022</v>
      </c>
      <c r="D329" s="8" t="s">
        <v>31</v>
      </c>
      <c r="E329" s="9">
        <v>1432</v>
      </c>
      <c r="F329" s="10">
        <v>79061997.469999999</v>
      </c>
      <c r="G329" s="10">
        <v>12586670</v>
      </c>
      <c r="H329" s="11">
        <v>15.92</v>
      </c>
      <c r="I329" s="11">
        <v>6.35</v>
      </c>
      <c r="J329" s="10">
        <v>14107.95</v>
      </c>
      <c r="K329" s="10">
        <v>8023.91</v>
      </c>
      <c r="L329" s="10">
        <v>79024418.780000001</v>
      </c>
      <c r="M329" s="10">
        <v>79041223.390000001</v>
      </c>
      <c r="N329" s="10">
        <v>37578.69</v>
      </c>
      <c r="O329" s="10">
        <v>79034603.959999993</v>
      </c>
      <c r="P329" s="10">
        <v>79032644.090000004</v>
      </c>
      <c r="Q329" s="10">
        <v>1959.87</v>
      </c>
      <c r="R329" s="10">
        <v>5020436.84</v>
      </c>
      <c r="S329" s="10">
        <v>7566233.1600000001</v>
      </c>
      <c r="T329" s="10">
        <v>11808.63</v>
      </c>
      <c r="U329" s="10">
        <v>25032.09</v>
      </c>
      <c r="V329" s="10">
        <v>3339.83</v>
      </c>
      <c r="W329" s="10">
        <v>6845.35</v>
      </c>
      <c r="X329" s="10">
        <v>4503.21</v>
      </c>
      <c r="Y329" s="9">
        <v>3766882</v>
      </c>
    </row>
    <row r="330" spans="1:25" ht="16.05" customHeight="1" x14ac:dyDescent="0.3">
      <c r="A330" s="2">
        <v>1978</v>
      </c>
      <c r="B330" s="2">
        <v>29</v>
      </c>
      <c r="C330" s="2">
        <v>2022</v>
      </c>
      <c r="D330" s="3" t="s">
        <v>31</v>
      </c>
      <c r="E330" s="4">
        <v>6709</v>
      </c>
      <c r="F330" s="5">
        <v>466943955.5</v>
      </c>
      <c r="G330" s="5">
        <v>123926925.8</v>
      </c>
      <c r="H330" s="6">
        <v>26.54</v>
      </c>
      <c r="I330" s="6">
        <v>18.64</v>
      </c>
      <c r="J330" s="5">
        <v>2917.55</v>
      </c>
      <c r="K330" s="5">
        <v>17394.689999999999</v>
      </c>
      <c r="L330" s="5">
        <v>466861623.10000002</v>
      </c>
      <c r="M330" s="5">
        <v>466922899.89999998</v>
      </c>
      <c r="N330" s="5">
        <v>82332.38</v>
      </c>
      <c r="O330" s="5">
        <v>466873827</v>
      </c>
      <c r="P330" s="5">
        <v>466860392.89999998</v>
      </c>
      <c r="Q330" s="5">
        <v>13434.1</v>
      </c>
      <c r="R330" s="5">
        <v>87038353.310000002</v>
      </c>
      <c r="S330" s="5">
        <v>36888572.490000002</v>
      </c>
      <c r="T330" s="5">
        <v>18203.45</v>
      </c>
      <c r="U330" s="5">
        <v>29786.03</v>
      </c>
      <c r="V330" s="5">
        <v>6928.12</v>
      </c>
      <c r="W330" s="5">
        <v>5275.75</v>
      </c>
      <c r="X330" s="5">
        <v>2080.58</v>
      </c>
      <c r="Y330" s="4">
        <v>1662891</v>
      </c>
    </row>
    <row r="331" spans="1:25" ht="16.05" customHeight="1" x14ac:dyDescent="0.3">
      <c r="A331" s="7">
        <v>2048</v>
      </c>
      <c r="B331" s="7">
        <v>30</v>
      </c>
      <c r="C331" s="7">
        <v>2022</v>
      </c>
      <c r="D331" s="8" t="s">
        <v>31</v>
      </c>
      <c r="E331" s="9">
        <v>2500</v>
      </c>
      <c r="F331" s="10">
        <v>140819519.80000001</v>
      </c>
      <c r="G331" s="10">
        <v>13898886.609999999</v>
      </c>
      <c r="H331" s="11">
        <v>9.8699999999999992</v>
      </c>
      <c r="I331" s="11">
        <v>6.47</v>
      </c>
      <c r="J331" s="10">
        <v>1917.41</v>
      </c>
      <c r="K331" s="10">
        <v>6962.58</v>
      </c>
      <c r="L331" s="10">
        <v>140761393.59999999</v>
      </c>
      <c r="M331" s="10">
        <v>140810890.40000001</v>
      </c>
      <c r="N331" s="10">
        <v>58126.2</v>
      </c>
      <c r="O331" s="10">
        <v>140769211.69999999</v>
      </c>
      <c r="P331" s="10">
        <v>140760900.40000001</v>
      </c>
      <c r="Q331" s="10">
        <v>8311.2900000000009</v>
      </c>
      <c r="R331" s="10">
        <v>9111022.9299999997</v>
      </c>
      <c r="S331" s="10">
        <v>4787863.67</v>
      </c>
      <c r="T331" s="10">
        <v>42922.37</v>
      </c>
      <c r="U331" s="10">
        <v>10606.42</v>
      </c>
      <c r="V331" s="10">
        <v>2594.8000000000002</v>
      </c>
      <c r="W331" s="10">
        <v>5223.22</v>
      </c>
      <c r="X331" s="10">
        <v>3276.84</v>
      </c>
      <c r="Y331" s="9">
        <v>3632965</v>
      </c>
    </row>
    <row r="332" spans="1:25" ht="16.05" customHeight="1" x14ac:dyDescent="0.3">
      <c r="A332" s="2">
        <v>2118</v>
      </c>
      <c r="B332" s="2">
        <v>31</v>
      </c>
      <c r="C332" s="2">
        <v>2022</v>
      </c>
      <c r="D332" s="3" t="s">
        <v>31</v>
      </c>
      <c r="E332" s="4">
        <v>5669</v>
      </c>
      <c r="F332" s="5">
        <v>67555021.370000005</v>
      </c>
      <c r="G332" s="5">
        <v>13098918.640000001</v>
      </c>
      <c r="H332" s="6">
        <v>19.39</v>
      </c>
      <c r="I332" s="6">
        <v>12.8</v>
      </c>
      <c r="J332" s="5">
        <v>2564.2199999999998</v>
      </c>
      <c r="K332" s="5">
        <v>10842.13</v>
      </c>
      <c r="L332" s="5">
        <v>67522918.590000004</v>
      </c>
      <c r="M332" s="5">
        <v>67550278.879999995</v>
      </c>
      <c r="N332" s="5">
        <v>32102.78</v>
      </c>
      <c r="O332" s="5">
        <v>67537430.459999993</v>
      </c>
      <c r="P332" s="5">
        <v>67529083.939999998</v>
      </c>
      <c r="Q332" s="5">
        <v>8346.52</v>
      </c>
      <c r="R332" s="5">
        <v>8647042.7400000002</v>
      </c>
      <c r="S332" s="5">
        <v>4451875.91</v>
      </c>
      <c r="T332" s="5">
        <v>78591.48</v>
      </c>
      <c r="U332" s="5">
        <v>24631.86</v>
      </c>
      <c r="V332" s="5">
        <v>10898.45</v>
      </c>
      <c r="W332" s="5">
        <v>3613.42</v>
      </c>
      <c r="X332" s="5">
        <v>3206.25</v>
      </c>
      <c r="Y332" s="4">
        <v>1600749</v>
      </c>
    </row>
    <row r="333" spans="1:25" ht="16.05" customHeight="1" x14ac:dyDescent="0.3">
      <c r="A333" s="7">
        <v>2188</v>
      </c>
      <c r="B333" s="7">
        <v>32</v>
      </c>
      <c r="C333" s="7">
        <v>2022</v>
      </c>
      <c r="D333" s="8" t="s">
        <v>31</v>
      </c>
      <c r="E333" s="9">
        <v>2555</v>
      </c>
      <c r="F333" s="10">
        <v>67341560.560000002</v>
      </c>
      <c r="G333" s="10">
        <v>12269632.33</v>
      </c>
      <c r="H333" s="11">
        <v>18.22</v>
      </c>
      <c r="I333" s="11">
        <v>19.940000000000001</v>
      </c>
      <c r="J333" s="10">
        <v>2106.96</v>
      </c>
      <c r="K333" s="10">
        <v>4575.68</v>
      </c>
      <c r="L333" s="10">
        <v>67250845.060000002</v>
      </c>
      <c r="M333" s="10">
        <v>67318168.670000002</v>
      </c>
      <c r="N333" s="10">
        <v>90715.5</v>
      </c>
      <c r="O333" s="10">
        <v>67256433.760000005</v>
      </c>
      <c r="P333" s="10">
        <v>67247635.739999995</v>
      </c>
      <c r="Q333" s="10">
        <v>8798.02</v>
      </c>
      <c r="R333" s="10">
        <v>13427907.18</v>
      </c>
      <c r="S333" s="10">
        <v>-1158274.8400000001</v>
      </c>
      <c r="T333" s="10">
        <v>71882.47</v>
      </c>
      <c r="U333" s="10">
        <v>15487.83</v>
      </c>
      <c r="V333" s="10">
        <v>4957.17</v>
      </c>
      <c r="W333" s="10">
        <v>631.53</v>
      </c>
      <c r="X333" s="10">
        <v>3024.83</v>
      </c>
      <c r="Y333" s="9">
        <v>3972485</v>
      </c>
    </row>
    <row r="334" spans="1:25" ht="16.05" customHeight="1" x14ac:dyDescent="0.3">
      <c r="A334" s="2">
        <v>2258</v>
      </c>
      <c r="B334" s="2">
        <v>33</v>
      </c>
      <c r="C334" s="2">
        <v>2022</v>
      </c>
      <c r="D334" s="3" t="s">
        <v>31</v>
      </c>
      <c r="E334" s="4">
        <v>3441</v>
      </c>
      <c r="F334" s="5">
        <v>39590025.259999998</v>
      </c>
      <c r="G334" s="5">
        <v>8329741.3200000003</v>
      </c>
      <c r="H334" s="6">
        <v>21.04</v>
      </c>
      <c r="I334" s="6">
        <v>16.27</v>
      </c>
      <c r="J334" s="5">
        <v>12070.69</v>
      </c>
      <c r="K334" s="5">
        <v>14842.9</v>
      </c>
      <c r="L334" s="5">
        <v>39506966.159999996</v>
      </c>
      <c r="M334" s="5">
        <v>39570887.640000001</v>
      </c>
      <c r="N334" s="5">
        <v>83059.100000000006</v>
      </c>
      <c r="O334" s="5">
        <v>39514732.479999997</v>
      </c>
      <c r="P334" s="5">
        <v>39508285.939999998</v>
      </c>
      <c r="Q334" s="5">
        <v>6446.54</v>
      </c>
      <c r="R334" s="5">
        <v>6441297.1100000003</v>
      </c>
      <c r="S334" s="5">
        <v>1888444.2</v>
      </c>
      <c r="T334" s="5">
        <v>23138.68</v>
      </c>
      <c r="U334" s="5">
        <v>28655.55</v>
      </c>
      <c r="V334" s="5">
        <v>6544.15</v>
      </c>
      <c r="W334" s="5">
        <v>1222.17</v>
      </c>
      <c r="X334" s="5">
        <v>4484.88</v>
      </c>
      <c r="Y334" s="4">
        <v>3758278</v>
      </c>
    </row>
    <row r="335" spans="1:25" ht="16.05" customHeight="1" x14ac:dyDescent="0.3">
      <c r="A335" s="7">
        <v>2328</v>
      </c>
      <c r="B335" s="7">
        <v>34</v>
      </c>
      <c r="C335" s="7">
        <v>2022</v>
      </c>
      <c r="D335" s="8" t="s">
        <v>31</v>
      </c>
      <c r="E335" s="9">
        <v>2834</v>
      </c>
      <c r="F335" s="10">
        <v>21810476.469999999</v>
      </c>
      <c r="G335" s="10">
        <v>4091645.38</v>
      </c>
      <c r="H335" s="11">
        <v>18.760000000000002</v>
      </c>
      <c r="I335" s="11">
        <v>15.43</v>
      </c>
      <c r="J335" s="10">
        <v>7863.49</v>
      </c>
      <c r="K335" s="10">
        <v>3766.96</v>
      </c>
      <c r="L335" s="10">
        <v>21735383.239999998</v>
      </c>
      <c r="M335" s="10">
        <v>21804126.25</v>
      </c>
      <c r="N335" s="10">
        <v>75093.23</v>
      </c>
      <c r="O335" s="10">
        <v>21749782.23</v>
      </c>
      <c r="P335" s="10">
        <v>21741330.32</v>
      </c>
      <c r="Q335" s="10">
        <v>8451.91</v>
      </c>
      <c r="R335" s="10">
        <v>3365356.52</v>
      </c>
      <c r="S335" s="10">
        <v>726288.87</v>
      </c>
      <c r="T335" s="10">
        <v>113590.93</v>
      </c>
      <c r="U335" s="10">
        <v>33862.410000000003</v>
      </c>
      <c r="V335" s="10">
        <v>8022.74</v>
      </c>
      <c r="W335" s="10">
        <v>6376.25</v>
      </c>
      <c r="X335" s="10">
        <v>3947.48</v>
      </c>
      <c r="Y335" s="9">
        <v>3130867</v>
      </c>
    </row>
    <row r="336" spans="1:25" ht="16.05" customHeight="1" x14ac:dyDescent="0.3">
      <c r="A336" s="2">
        <v>2398</v>
      </c>
      <c r="B336" s="2">
        <v>35</v>
      </c>
      <c r="C336" s="2">
        <v>2022</v>
      </c>
      <c r="D336" s="3" t="s">
        <v>31</v>
      </c>
      <c r="E336" s="4">
        <v>928</v>
      </c>
      <c r="F336" s="5">
        <v>61473086.520000003</v>
      </c>
      <c r="G336" s="5">
        <v>12798696.609999999</v>
      </c>
      <c r="H336" s="6">
        <v>20.82</v>
      </c>
      <c r="I336" s="6">
        <v>18.100000000000001</v>
      </c>
      <c r="J336" s="5">
        <v>6988.93</v>
      </c>
      <c r="K336" s="5">
        <v>2380.3200000000002</v>
      </c>
      <c r="L336" s="5">
        <v>61435868.380000003</v>
      </c>
      <c r="M336" s="5">
        <v>61457008.969999999</v>
      </c>
      <c r="N336" s="5">
        <v>37218.14</v>
      </c>
      <c r="O336" s="5">
        <v>61444798.899999999</v>
      </c>
      <c r="P336" s="5">
        <v>61429979.049999997</v>
      </c>
      <c r="Q336" s="5">
        <v>14819.85</v>
      </c>
      <c r="R336" s="5">
        <v>11126628.66</v>
      </c>
      <c r="S336" s="5">
        <v>1672067.95</v>
      </c>
      <c r="T336" s="5">
        <v>96308.1</v>
      </c>
      <c r="U336" s="5">
        <v>16465.16</v>
      </c>
      <c r="V336" s="5">
        <v>7859.27</v>
      </c>
      <c r="W336" s="5">
        <v>1071.25</v>
      </c>
      <c r="X336" s="5">
        <v>3833.98</v>
      </c>
      <c r="Y336" s="4">
        <v>2413565</v>
      </c>
    </row>
    <row r="337" spans="1:25" ht="16.05" customHeight="1" x14ac:dyDescent="0.3">
      <c r="A337" s="7">
        <v>2468</v>
      </c>
      <c r="B337" s="7">
        <v>36</v>
      </c>
      <c r="C337" s="7">
        <v>2022</v>
      </c>
      <c r="D337" s="8" t="s">
        <v>31</v>
      </c>
      <c r="E337" s="9">
        <v>6624</v>
      </c>
      <c r="F337" s="10">
        <v>154510898.80000001</v>
      </c>
      <c r="G337" s="10">
        <v>40002871.700000003</v>
      </c>
      <c r="H337" s="11">
        <v>25.89</v>
      </c>
      <c r="I337" s="11">
        <v>19.2</v>
      </c>
      <c r="J337" s="10">
        <v>14615.61</v>
      </c>
      <c r="K337" s="10">
        <v>15652.77</v>
      </c>
      <c r="L337" s="10">
        <v>154412393.69999999</v>
      </c>
      <c r="M337" s="10">
        <v>154491544</v>
      </c>
      <c r="N337" s="10">
        <v>98505.08</v>
      </c>
      <c r="O337" s="10">
        <v>154424626.69999999</v>
      </c>
      <c r="P337" s="10">
        <v>154416540.80000001</v>
      </c>
      <c r="Q337" s="10">
        <v>8085.9</v>
      </c>
      <c r="R337" s="10">
        <v>29666092.57</v>
      </c>
      <c r="S337" s="10">
        <v>10336779.130000001</v>
      </c>
      <c r="T337" s="10">
        <v>41191.5</v>
      </c>
      <c r="U337" s="10">
        <v>11420.79</v>
      </c>
      <c r="V337" s="10">
        <v>7255.03</v>
      </c>
      <c r="W337" s="10">
        <v>4977.9799999999996</v>
      </c>
      <c r="X337" s="10">
        <v>4640.67</v>
      </c>
      <c r="Y337" s="9">
        <v>2749133</v>
      </c>
    </row>
    <row r="338" spans="1:25" ht="16.05" customHeight="1" x14ac:dyDescent="0.3">
      <c r="A338" s="2">
        <v>2538</v>
      </c>
      <c r="B338" s="2">
        <v>37</v>
      </c>
      <c r="C338" s="2">
        <v>2022</v>
      </c>
      <c r="D338" s="3" t="s">
        <v>31</v>
      </c>
      <c r="E338" s="4">
        <v>3311</v>
      </c>
      <c r="F338" s="5">
        <v>178770595.69999999</v>
      </c>
      <c r="G338" s="5">
        <v>13640196.449999999</v>
      </c>
      <c r="H338" s="6">
        <v>7.63</v>
      </c>
      <c r="I338" s="6">
        <v>16.72</v>
      </c>
      <c r="J338" s="5">
        <v>12602.08</v>
      </c>
      <c r="K338" s="5">
        <v>9017.0499999999993</v>
      </c>
      <c r="L338" s="5">
        <v>178739660.90000001</v>
      </c>
      <c r="M338" s="5">
        <v>178760736.19999999</v>
      </c>
      <c r="N338" s="5">
        <v>30934.79</v>
      </c>
      <c r="O338" s="5">
        <v>178747431.5</v>
      </c>
      <c r="P338" s="5">
        <v>178733982.5</v>
      </c>
      <c r="Q338" s="5">
        <v>13449.01</v>
      </c>
      <c r="R338" s="5">
        <v>29890443.600000001</v>
      </c>
      <c r="S338" s="5">
        <v>-16250247.15</v>
      </c>
      <c r="T338" s="5">
        <v>60674.65</v>
      </c>
      <c r="U338" s="5">
        <v>42684.12</v>
      </c>
      <c r="V338" s="5">
        <v>6876.12</v>
      </c>
      <c r="W338" s="5">
        <v>894.45</v>
      </c>
      <c r="X338" s="5">
        <v>2972.52</v>
      </c>
      <c r="Y338" s="4">
        <v>1021910</v>
      </c>
    </row>
    <row r="339" spans="1:25" ht="16.05" customHeight="1" x14ac:dyDescent="0.3">
      <c r="A339" s="7">
        <v>2608</v>
      </c>
      <c r="B339" s="7">
        <v>38</v>
      </c>
      <c r="C339" s="7">
        <v>2022</v>
      </c>
      <c r="D339" s="8" t="s">
        <v>31</v>
      </c>
      <c r="E339" s="9">
        <v>1731</v>
      </c>
      <c r="F339" s="10">
        <v>16146187.810000001</v>
      </c>
      <c r="G339" s="10">
        <v>4353012.24</v>
      </c>
      <c r="H339" s="11">
        <v>26.96</v>
      </c>
      <c r="I339" s="11">
        <v>8.32</v>
      </c>
      <c r="J339" s="10">
        <v>4169.88</v>
      </c>
      <c r="K339" s="10">
        <v>15645.84</v>
      </c>
      <c r="L339" s="10">
        <v>16102870.59</v>
      </c>
      <c r="M339" s="10">
        <v>16129598.5</v>
      </c>
      <c r="N339" s="10">
        <v>43317.22</v>
      </c>
      <c r="O339" s="10">
        <v>16112285.880000001</v>
      </c>
      <c r="P339" s="10">
        <v>16110072.73</v>
      </c>
      <c r="Q339" s="10">
        <v>2213.15</v>
      </c>
      <c r="R339" s="10">
        <v>1343362.83</v>
      </c>
      <c r="S339" s="10">
        <v>3009649.41</v>
      </c>
      <c r="T339" s="10">
        <v>66255.740000000005</v>
      </c>
      <c r="U339" s="10">
        <v>17304.8</v>
      </c>
      <c r="V339" s="10">
        <v>4668.67</v>
      </c>
      <c r="W339" s="10">
        <v>4746.62</v>
      </c>
      <c r="X339" s="10">
        <v>1881.99</v>
      </c>
      <c r="Y339" s="9">
        <v>3553747</v>
      </c>
    </row>
    <row r="340" spans="1:25" ht="16.05" customHeight="1" x14ac:dyDescent="0.3">
      <c r="A340" s="2">
        <v>2678</v>
      </c>
      <c r="B340" s="2">
        <v>39</v>
      </c>
      <c r="C340" s="2">
        <v>2022</v>
      </c>
      <c r="D340" s="3" t="s">
        <v>31</v>
      </c>
      <c r="E340" s="4">
        <v>439</v>
      </c>
      <c r="F340" s="5">
        <v>15638292.310000001</v>
      </c>
      <c r="G340" s="5">
        <v>3349722.21</v>
      </c>
      <c r="H340" s="6">
        <v>21.42</v>
      </c>
      <c r="I340" s="6">
        <v>6.48</v>
      </c>
      <c r="J340" s="5">
        <v>14290.94</v>
      </c>
      <c r="K340" s="5">
        <v>16928.41</v>
      </c>
      <c r="L340" s="5">
        <v>15565949.09</v>
      </c>
      <c r="M340" s="5">
        <v>15623068.619999999</v>
      </c>
      <c r="N340" s="5">
        <v>72343.22</v>
      </c>
      <c r="O340" s="5">
        <v>15577852.109999999</v>
      </c>
      <c r="P340" s="5">
        <v>15572912.42</v>
      </c>
      <c r="Q340" s="5">
        <v>4939.6899999999996</v>
      </c>
      <c r="R340" s="5">
        <v>1013361.34</v>
      </c>
      <c r="S340" s="5">
        <v>2336360.87</v>
      </c>
      <c r="T340" s="5">
        <v>79701.740000000005</v>
      </c>
      <c r="U340" s="5">
        <v>12613.33</v>
      </c>
      <c r="V340" s="5">
        <v>4909.3100000000004</v>
      </c>
      <c r="W340" s="5">
        <v>6993.71</v>
      </c>
      <c r="X340" s="5">
        <v>3544.06</v>
      </c>
      <c r="Y340" s="4">
        <v>3499242</v>
      </c>
    </row>
    <row r="341" spans="1:25" ht="16.05" customHeight="1" x14ac:dyDescent="0.3">
      <c r="A341" s="7">
        <v>2748</v>
      </c>
      <c r="B341" s="7">
        <v>40</v>
      </c>
      <c r="C341" s="7">
        <v>2022</v>
      </c>
      <c r="D341" s="8" t="s">
        <v>31</v>
      </c>
      <c r="E341" s="9">
        <v>5266</v>
      </c>
      <c r="F341" s="10">
        <v>128712945.40000001</v>
      </c>
      <c r="G341" s="10">
        <v>7156439.7599999998</v>
      </c>
      <c r="H341" s="11">
        <v>5.56</v>
      </c>
      <c r="I341" s="11">
        <v>12.88</v>
      </c>
      <c r="J341" s="10">
        <v>14581.72</v>
      </c>
      <c r="K341" s="10">
        <v>5035.34</v>
      </c>
      <c r="L341" s="10">
        <v>128677507.5</v>
      </c>
      <c r="M341" s="10">
        <v>128693343.5</v>
      </c>
      <c r="N341" s="10">
        <v>35437.910000000003</v>
      </c>
      <c r="O341" s="10">
        <v>128685525.40000001</v>
      </c>
      <c r="P341" s="10">
        <v>128682045.3</v>
      </c>
      <c r="Q341" s="10">
        <v>3480.07</v>
      </c>
      <c r="R341" s="10">
        <v>16578227.369999999</v>
      </c>
      <c r="S341" s="10">
        <v>-9421787.5999999996</v>
      </c>
      <c r="T341" s="10">
        <v>59950.07</v>
      </c>
      <c r="U341" s="10">
        <v>23377.74</v>
      </c>
      <c r="V341" s="10">
        <v>6231.02</v>
      </c>
      <c r="W341" s="10">
        <v>1786.85</v>
      </c>
      <c r="X341" s="10">
        <v>4997.68</v>
      </c>
      <c r="Y341" s="9">
        <v>1007352</v>
      </c>
    </row>
    <row r="342" spans="1:25" ht="16.05" customHeight="1" x14ac:dyDescent="0.3">
      <c r="A342" s="2">
        <v>2818</v>
      </c>
      <c r="B342" s="2">
        <v>41</v>
      </c>
      <c r="C342" s="2">
        <v>2022</v>
      </c>
      <c r="D342" s="3" t="s">
        <v>31</v>
      </c>
      <c r="E342" s="4">
        <v>1859</v>
      </c>
      <c r="F342" s="5">
        <v>106546109.2</v>
      </c>
      <c r="G342" s="5">
        <v>30035348.18</v>
      </c>
      <c r="H342" s="6">
        <v>28.19</v>
      </c>
      <c r="I342" s="6">
        <v>17.89</v>
      </c>
      <c r="J342" s="5">
        <v>14138.06</v>
      </c>
      <c r="K342" s="5">
        <v>18517.490000000002</v>
      </c>
      <c r="L342" s="5">
        <v>106510606.59999999</v>
      </c>
      <c r="M342" s="5">
        <v>106529750</v>
      </c>
      <c r="N342" s="5">
        <v>35502.6</v>
      </c>
      <c r="O342" s="5">
        <v>106525311.3</v>
      </c>
      <c r="P342" s="5">
        <v>106516557.2</v>
      </c>
      <c r="Q342" s="5">
        <v>8754.17</v>
      </c>
      <c r="R342" s="5">
        <v>19061098.93</v>
      </c>
      <c r="S342" s="5">
        <v>10974249.25</v>
      </c>
      <c r="T342" s="5">
        <v>65550.7</v>
      </c>
      <c r="U342" s="5">
        <v>6766.49</v>
      </c>
      <c r="V342" s="5">
        <v>9274.52</v>
      </c>
      <c r="W342" s="5">
        <v>5430.22</v>
      </c>
      <c r="X342" s="5">
        <v>1292.6300000000001</v>
      </c>
      <c r="Y342" s="4">
        <v>1296248</v>
      </c>
    </row>
    <row r="343" spans="1:25" ht="16.05" customHeight="1" x14ac:dyDescent="0.3">
      <c r="A343" s="7">
        <v>2888</v>
      </c>
      <c r="B343" s="7">
        <v>42</v>
      </c>
      <c r="C343" s="7">
        <v>2022</v>
      </c>
      <c r="D343" s="8" t="s">
        <v>31</v>
      </c>
      <c r="E343" s="9">
        <v>3469</v>
      </c>
      <c r="F343" s="10">
        <v>203146973.19999999</v>
      </c>
      <c r="G343" s="10">
        <v>23951028.140000001</v>
      </c>
      <c r="H343" s="11">
        <v>11.79</v>
      </c>
      <c r="I343" s="11">
        <v>19.16</v>
      </c>
      <c r="J343" s="10">
        <v>11289.77</v>
      </c>
      <c r="K343" s="10">
        <v>2555.37</v>
      </c>
      <c r="L343" s="10">
        <v>203095372.69999999</v>
      </c>
      <c r="M343" s="10">
        <v>203123567.40000001</v>
      </c>
      <c r="N343" s="10">
        <v>51600.42</v>
      </c>
      <c r="O343" s="10">
        <v>203110909.19999999</v>
      </c>
      <c r="P343" s="10">
        <v>203105072.09999999</v>
      </c>
      <c r="Q343" s="10">
        <v>5837.08</v>
      </c>
      <c r="R343" s="10">
        <v>38922960.060000002</v>
      </c>
      <c r="S343" s="10">
        <v>-14971931.92</v>
      </c>
      <c r="T343" s="10">
        <v>49190.8</v>
      </c>
      <c r="U343" s="10">
        <v>31496.22</v>
      </c>
      <c r="V343" s="10">
        <v>9004.39</v>
      </c>
      <c r="W343" s="10">
        <v>6532.03</v>
      </c>
      <c r="X343" s="10">
        <v>4230.7700000000004</v>
      </c>
      <c r="Y343" s="9">
        <v>1151667</v>
      </c>
    </row>
    <row r="344" spans="1:25" ht="16.05" customHeight="1" x14ac:dyDescent="0.3">
      <c r="A344" s="2">
        <v>2958</v>
      </c>
      <c r="B344" s="2">
        <v>43</v>
      </c>
      <c r="C344" s="2">
        <v>2022</v>
      </c>
      <c r="D344" s="3" t="s">
        <v>31</v>
      </c>
      <c r="E344" s="4">
        <v>136</v>
      </c>
      <c r="F344" s="5">
        <v>5444101.1200000001</v>
      </c>
      <c r="G344" s="5">
        <v>933118.93</v>
      </c>
      <c r="H344" s="6">
        <v>17.14</v>
      </c>
      <c r="I344" s="6">
        <v>7.13</v>
      </c>
      <c r="J344" s="5">
        <v>5376.8</v>
      </c>
      <c r="K344" s="5">
        <v>11147.38</v>
      </c>
      <c r="L344" s="5">
        <v>5373334.6699999999</v>
      </c>
      <c r="M344" s="5">
        <v>5429991.5800000001</v>
      </c>
      <c r="N344" s="5">
        <v>70766.45</v>
      </c>
      <c r="O344" s="5">
        <v>5382179.4299999997</v>
      </c>
      <c r="P344" s="5">
        <v>5374962.5499999998</v>
      </c>
      <c r="Q344" s="5">
        <v>7216.88</v>
      </c>
      <c r="R344" s="5">
        <v>388164.41</v>
      </c>
      <c r="S344" s="5">
        <v>544954.52</v>
      </c>
      <c r="T344" s="5">
        <v>23051.439999999999</v>
      </c>
      <c r="U344" s="5">
        <v>28697.86</v>
      </c>
      <c r="V344" s="5">
        <v>7684.84</v>
      </c>
      <c r="W344" s="5">
        <v>1159.92</v>
      </c>
      <c r="X344" s="5">
        <v>2080.06</v>
      </c>
      <c r="Y344" s="4">
        <v>2787879</v>
      </c>
    </row>
    <row r="345" spans="1:25" ht="16.05" customHeight="1" x14ac:dyDescent="0.3">
      <c r="A345" s="7">
        <v>3028</v>
      </c>
      <c r="B345" s="7">
        <v>44</v>
      </c>
      <c r="C345" s="7">
        <v>2022</v>
      </c>
      <c r="D345" s="8" t="s">
        <v>31</v>
      </c>
      <c r="E345" s="9">
        <v>2756</v>
      </c>
      <c r="F345" s="10">
        <v>139157222.40000001</v>
      </c>
      <c r="G345" s="10">
        <v>38977937.990000002</v>
      </c>
      <c r="H345" s="11">
        <v>28.01</v>
      </c>
      <c r="I345" s="11">
        <v>15.97</v>
      </c>
      <c r="J345" s="10">
        <v>3870.58</v>
      </c>
      <c r="K345" s="10">
        <v>12795.5</v>
      </c>
      <c r="L345" s="10">
        <v>139141367.90000001</v>
      </c>
      <c r="M345" s="10">
        <v>139144260.09999999</v>
      </c>
      <c r="N345" s="10">
        <v>15854.46</v>
      </c>
      <c r="O345" s="10">
        <v>139150034.90000001</v>
      </c>
      <c r="P345" s="10">
        <v>139136420.59999999</v>
      </c>
      <c r="Q345" s="10">
        <v>13614.28</v>
      </c>
      <c r="R345" s="10">
        <v>22223408.420000002</v>
      </c>
      <c r="S345" s="10">
        <v>16754529.58</v>
      </c>
      <c r="T345" s="10">
        <v>106088.79</v>
      </c>
      <c r="U345" s="10">
        <v>16200.99</v>
      </c>
      <c r="V345" s="10">
        <v>5888.41</v>
      </c>
      <c r="W345" s="10">
        <v>2778.57</v>
      </c>
      <c r="X345" s="10">
        <v>3313.27</v>
      </c>
      <c r="Y345" s="9">
        <v>3159199</v>
      </c>
    </row>
    <row r="346" spans="1:25" ht="16.05" customHeight="1" x14ac:dyDescent="0.3">
      <c r="A346" s="2">
        <v>3098</v>
      </c>
      <c r="B346" s="2">
        <v>45</v>
      </c>
      <c r="C346" s="2">
        <v>2022</v>
      </c>
      <c r="D346" s="3" t="s">
        <v>31</v>
      </c>
      <c r="E346" s="4">
        <v>3706</v>
      </c>
      <c r="F346" s="5">
        <v>114526544.40000001</v>
      </c>
      <c r="G346" s="5">
        <v>14350176.01</v>
      </c>
      <c r="H346" s="6">
        <v>12.53</v>
      </c>
      <c r="I346" s="6">
        <v>11.74</v>
      </c>
      <c r="J346" s="5">
        <v>12239.65</v>
      </c>
      <c r="K346" s="5">
        <v>6846.79</v>
      </c>
      <c r="L346" s="5">
        <v>114430403.3</v>
      </c>
      <c r="M346" s="5">
        <v>114502614</v>
      </c>
      <c r="N346" s="5">
        <v>96141.11</v>
      </c>
      <c r="O346" s="5">
        <v>114437129.8</v>
      </c>
      <c r="P346" s="5">
        <v>114425098.90000001</v>
      </c>
      <c r="Q346" s="5">
        <v>12030.92</v>
      </c>
      <c r="R346" s="5">
        <v>13445416.310000001</v>
      </c>
      <c r="S346" s="5">
        <v>904759.7</v>
      </c>
      <c r="T346" s="5">
        <v>33671.379999999997</v>
      </c>
      <c r="U346" s="5">
        <v>55461.82</v>
      </c>
      <c r="V346" s="5">
        <v>5123.28</v>
      </c>
      <c r="W346" s="5">
        <v>1603.26</v>
      </c>
      <c r="X346" s="5">
        <v>2386.96</v>
      </c>
      <c r="Y346" s="4">
        <v>4436076</v>
      </c>
    </row>
    <row r="347" spans="1:25" ht="16.05" customHeight="1" x14ac:dyDescent="0.3">
      <c r="A347" s="7">
        <v>3168</v>
      </c>
      <c r="B347" s="7">
        <v>46</v>
      </c>
      <c r="C347" s="7">
        <v>2022</v>
      </c>
      <c r="D347" s="8" t="s">
        <v>31</v>
      </c>
      <c r="E347" s="9">
        <v>6191</v>
      </c>
      <c r="F347" s="10">
        <v>385785870.19999999</v>
      </c>
      <c r="G347" s="10">
        <v>66432326.840000004</v>
      </c>
      <c r="H347" s="11">
        <v>17.22</v>
      </c>
      <c r="I347" s="11">
        <v>12.79</v>
      </c>
      <c r="J347" s="10">
        <v>1530.36</v>
      </c>
      <c r="K347" s="10">
        <v>13093.15</v>
      </c>
      <c r="L347" s="10">
        <v>385725110</v>
      </c>
      <c r="M347" s="10">
        <v>385770706.39999998</v>
      </c>
      <c r="N347" s="10">
        <v>60760.17</v>
      </c>
      <c r="O347" s="10">
        <v>385731997.60000002</v>
      </c>
      <c r="P347" s="10">
        <v>385724922.19999999</v>
      </c>
      <c r="Q347" s="10">
        <v>7075.43</v>
      </c>
      <c r="R347" s="10">
        <v>49342012.789999999</v>
      </c>
      <c r="S347" s="10">
        <v>17090314.050000001</v>
      </c>
      <c r="T347" s="10">
        <v>19158.75</v>
      </c>
      <c r="U347" s="10">
        <v>15163.1</v>
      </c>
      <c r="V347" s="10">
        <v>1804.12</v>
      </c>
      <c r="W347" s="10">
        <v>5083.4799999999996</v>
      </c>
      <c r="X347" s="10">
        <v>2547.9</v>
      </c>
      <c r="Y347" s="9">
        <v>4308063</v>
      </c>
    </row>
    <row r="348" spans="1:25" ht="16.05" customHeight="1" x14ac:dyDescent="0.3">
      <c r="A348" s="2">
        <v>3238</v>
      </c>
      <c r="B348" s="2">
        <v>47</v>
      </c>
      <c r="C348" s="2">
        <v>2022</v>
      </c>
      <c r="D348" s="3" t="s">
        <v>31</v>
      </c>
      <c r="E348" s="4">
        <v>4515</v>
      </c>
      <c r="F348" s="5">
        <v>191283986.09999999</v>
      </c>
      <c r="G348" s="5">
        <v>33187771.59</v>
      </c>
      <c r="H348" s="6">
        <v>17.350000000000001</v>
      </c>
      <c r="I348" s="6">
        <v>12.22</v>
      </c>
      <c r="J348" s="5">
        <v>9723.42</v>
      </c>
      <c r="K348" s="5">
        <v>4257.7299999999996</v>
      </c>
      <c r="L348" s="5">
        <v>191229838.90000001</v>
      </c>
      <c r="M348" s="5">
        <v>191275142.69999999</v>
      </c>
      <c r="N348" s="5">
        <v>54147.19</v>
      </c>
      <c r="O348" s="5">
        <v>191238779.69999999</v>
      </c>
      <c r="P348" s="5">
        <v>191227875.09999999</v>
      </c>
      <c r="Q348" s="5">
        <v>10904.68</v>
      </c>
      <c r="R348" s="5">
        <v>23374903.100000001</v>
      </c>
      <c r="S348" s="5">
        <v>9812868.4900000002</v>
      </c>
      <c r="T348" s="5">
        <v>47086.94</v>
      </c>
      <c r="U348" s="5">
        <v>7983.43</v>
      </c>
      <c r="V348" s="5">
        <v>7948.45</v>
      </c>
      <c r="W348" s="5">
        <v>992.37</v>
      </c>
      <c r="X348" s="5">
        <v>1847.99</v>
      </c>
      <c r="Y348" s="4">
        <v>4456514</v>
      </c>
    </row>
    <row r="349" spans="1:25" ht="16.05" customHeight="1" x14ac:dyDescent="0.3">
      <c r="A349" s="7">
        <v>3308</v>
      </c>
      <c r="B349" s="7">
        <v>48</v>
      </c>
      <c r="C349" s="7">
        <v>2022</v>
      </c>
      <c r="D349" s="8" t="s">
        <v>31</v>
      </c>
      <c r="E349" s="9">
        <v>2720</v>
      </c>
      <c r="F349" s="10">
        <v>47686503.259999998</v>
      </c>
      <c r="G349" s="10">
        <v>8287914.2699999996</v>
      </c>
      <c r="H349" s="11">
        <v>17.38</v>
      </c>
      <c r="I349" s="11">
        <v>5.17</v>
      </c>
      <c r="J349" s="10">
        <v>4437.51</v>
      </c>
      <c r="K349" s="10">
        <v>2983.17</v>
      </c>
      <c r="L349" s="10">
        <v>47648664.25</v>
      </c>
      <c r="M349" s="10">
        <v>47671570.789999999</v>
      </c>
      <c r="N349" s="10">
        <v>37839.01</v>
      </c>
      <c r="O349" s="10">
        <v>47656425.369999997</v>
      </c>
      <c r="P349" s="10">
        <v>47653512.439999998</v>
      </c>
      <c r="Q349" s="10">
        <v>2912.93</v>
      </c>
      <c r="R349" s="10">
        <v>2465392.2200000002</v>
      </c>
      <c r="S349" s="10">
        <v>5822522.0499999998</v>
      </c>
      <c r="T349" s="10">
        <v>69563.63</v>
      </c>
      <c r="U349" s="10">
        <v>26052.720000000001</v>
      </c>
      <c r="V349" s="10">
        <v>1004.84</v>
      </c>
      <c r="W349" s="10">
        <v>6756.28</v>
      </c>
      <c r="X349" s="10">
        <v>2324.1799999999998</v>
      </c>
      <c r="Y349" s="9">
        <v>1073402</v>
      </c>
    </row>
    <row r="350" spans="1:25" ht="16.05" customHeight="1" x14ac:dyDescent="0.3">
      <c r="A350" s="2">
        <v>3378</v>
      </c>
      <c r="B350" s="2">
        <v>49</v>
      </c>
      <c r="C350" s="2">
        <v>2022</v>
      </c>
      <c r="D350" s="3" t="s">
        <v>31</v>
      </c>
      <c r="E350" s="4">
        <v>925</v>
      </c>
      <c r="F350" s="5">
        <v>39102755.590000004</v>
      </c>
      <c r="G350" s="5">
        <v>2494755.81</v>
      </c>
      <c r="H350" s="6">
        <v>6.38</v>
      </c>
      <c r="I350" s="6">
        <v>15.27</v>
      </c>
      <c r="J350" s="5">
        <v>5439.9</v>
      </c>
      <c r="K350" s="5">
        <v>8365.2900000000009</v>
      </c>
      <c r="L350" s="5">
        <v>39064797.780000001</v>
      </c>
      <c r="M350" s="5">
        <v>39095723.57</v>
      </c>
      <c r="N350" s="5">
        <v>37957.81</v>
      </c>
      <c r="O350" s="5">
        <v>39079430.390000001</v>
      </c>
      <c r="P350" s="5">
        <v>39071643.43</v>
      </c>
      <c r="Q350" s="5">
        <v>7786.96</v>
      </c>
      <c r="R350" s="5">
        <v>5970990.7800000003</v>
      </c>
      <c r="S350" s="5">
        <v>-3476234.97</v>
      </c>
      <c r="T350" s="5">
        <v>104873.08</v>
      </c>
      <c r="U350" s="5">
        <v>10981.09</v>
      </c>
      <c r="V350" s="5">
        <v>10624.75</v>
      </c>
      <c r="W350" s="5">
        <v>4007.86</v>
      </c>
      <c r="X350" s="5">
        <v>3947.08</v>
      </c>
      <c r="Y350" s="4">
        <v>2226280</v>
      </c>
    </row>
    <row r="351" spans="1:25" ht="16.05" customHeight="1" x14ac:dyDescent="0.3">
      <c r="A351" s="7">
        <v>3448</v>
      </c>
      <c r="B351" s="7">
        <v>50</v>
      </c>
      <c r="C351" s="7">
        <v>2022</v>
      </c>
      <c r="D351" s="8" t="s">
        <v>31</v>
      </c>
      <c r="E351" s="9">
        <v>3188</v>
      </c>
      <c r="F351" s="10">
        <v>33241463.710000001</v>
      </c>
      <c r="G351" s="10">
        <v>4640508.33</v>
      </c>
      <c r="H351" s="11">
        <v>13.96</v>
      </c>
      <c r="I351" s="11">
        <v>13.04</v>
      </c>
      <c r="J351" s="10">
        <v>8086.87</v>
      </c>
      <c r="K351" s="10">
        <v>18117.63</v>
      </c>
      <c r="L351" s="10">
        <v>33152554.289999999</v>
      </c>
      <c r="M351" s="10">
        <v>33226389.670000002</v>
      </c>
      <c r="N351" s="10">
        <v>88909.42</v>
      </c>
      <c r="O351" s="10">
        <v>33163890.399999999</v>
      </c>
      <c r="P351" s="10">
        <v>33162103.98</v>
      </c>
      <c r="Q351" s="10">
        <v>1786.42</v>
      </c>
      <c r="R351" s="10">
        <v>4334686.87</v>
      </c>
      <c r="S351" s="10">
        <v>305821.46999999997</v>
      </c>
      <c r="T351" s="10">
        <v>45207.7</v>
      </c>
      <c r="U351" s="10">
        <v>56380.71</v>
      </c>
      <c r="V351" s="10">
        <v>8707.94</v>
      </c>
      <c r="W351" s="10">
        <v>2628.17</v>
      </c>
      <c r="X351" s="10">
        <v>2838.21</v>
      </c>
      <c r="Y351" s="9">
        <v>2737938</v>
      </c>
    </row>
    <row r="352" spans="1:25" ht="16.05" customHeight="1" x14ac:dyDescent="0.3">
      <c r="A352" s="2">
        <v>59</v>
      </c>
      <c r="B352" s="2">
        <v>1</v>
      </c>
      <c r="C352" s="2">
        <v>2023</v>
      </c>
      <c r="D352" s="3" t="s">
        <v>25</v>
      </c>
      <c r="E352" s="4">
        <v>620</v>
      </c>
      <c r="F352" s="5">
        <v>14573517.27</v>
      </c>
      <c r="G352" s="5">
        <v>3692929.28</v>
      </c>
      <c r="H352" s="6">
        <v>25.34</v>
      </c>
      <c r="I352" s="6">
        <v>19.75</v>
      </c>
      <c r="J352" s="5">
        <v>10557.11</v>
      </c>
      <c r="K352" s="5">
        <v>18799.79</v>
      </c>
      <c r="L352" s="5">
        <v>14486074.460000001</v>
      </c>
      <c r="M352" s="5">
        <v>14554423.35</v>
      </c>
      <c r="N352" s="5">
        <v>87442.81</v>
      </c>
      <c r="O352" s="5">
        <v>14491170.369999999</v>
      </c>
      <c r="P352" s="5">
        <v>14489646.93</v>
      </c>
      <c r="Q352" s="5">
        <v>1523.44</v>
      </c>
      <c r="R352" s="5">
        <v>2878269.66</v>
      </c>
      <c r="S352" s="5">
        <v>814659.62</v>
      </c>
      <c r="T352" s="5">
        <v>92560.48</v>
      </c>
      <c r="U352" s="5">
        <v>46500.41</v>
      </c>
      <c r="V352" s="5">
        <v>3351.82</v>
      </c>
      <c r="W352" s="5">
        <v>1744.09</v>
      </c>
      <c r="X352" s="5">
        <v>3290.32</v>
      </c>
      <c r="Y352" s="4">
        <v>2307557</v>
      </c>
    </row>
    <row r="353" spans="1:25" ht="16.05" customHeight="1" x14ac:dyDescent="0.3">
      <c r="A353" s="7">
        <v>129</v>
      </c>
      <c r="B353" s="7">
        <v>2</v>
      </c>
      <c r="C353" s="7">
        <v>2023</v>
      </c>
      <c r="D353" s="8" t="s">
        <v>25</v>
      </c>
      <c r="E353" s="9">
        <v>568</v>
      </c>
      <c r="F353" s="10">
        <v>4517059.07</v>
      </c>
      <c r="G353" s="10">
        <v>907477.17</v>
      </c>
      <c r="H353" s="11">
        <v>20.09</v>
      </c>
      <c r="I353" s="11">
        <v>18.11</v>
      </c>
      <c r="J353" s="10">
        <v>11192.83</v>
      </c>
      <c r="K353" s="10">
        <v>11200.65</v>
      </c>
      <c r="L353" s="10">
        <v>4484406.03</v>
      </c>
      <c r="M353" s="10">
        <v>4500324.3600000003</v>
      </c>
      <c r="N353" s="10">
        <v>32653.040000000001</v>
      </c>
      <c r="O353" s="10">
        <v>4492904.47</v>
      </c>
      <c r="P353" s="10">
        <v>4482404.95</v>
      </c>
      <c r="Q353" s="10">
        <v>10499.52</v>
      </c>
      <c r="R353" s="10">
        <v>818039.4</v>
      </c>
      <c r="S353" s="10">
        <v>89437.77</v>
      </c>
      <c r="T353" s="10">
        <v>78144.179999999993</v>
      </c>
      <c r="U353" s="10">
        <v>27072.65</v>
      </c>
      <c r="V353" s="10">
        <v>4380.24</v>
      </c>
      <c r="W353" s="10">
        <v>4118.2</v>
      </c>
      <c r="X353" s="10">
        <v>4119.4799999999996</v>
      </c>
      <c r="Y353" s="9">
        <v>3706614</v>
      </c>
    </row>
    <row r="354" spans="1:25" ht="16.05" customHeight="1" x14ac:dyDescent="0.3">
      <c r="A354" s="2">
        <v>199</v>
      </c>
      <c r="B354" s="2">
        <v>3</v>
      </c>
      <c r="C354" s="2">
        <v>2023</v>
      </c>
      <c r="D354" s="3" t="s">
        <v>25</v>
      </c>
      <c r="E354" s="4">
        <v>5916</v>
      </c>
      <c r="F354" s="5">
        <v>188048610.09999999</v>
      </c>
      <c r="G354" s="5">
        <v>40674914.359999999</v>
      </c>
      <c r="H354" s="6">
        <v>21.63</v>
      </c>
      <c r="I354" s="6">
        <v>5.72</v>
      </c>
      <c r="J354" s="5">
        <v>6498</v>
      </c>
      <c r="K354" s="5">
        <v>15740.82</v>
      </c>
      <c r="L354" s="5">
        <v>188027261.5</v>
      </c>
      <c r="M354" s="5">
        <v>188042208</v>
      </c>
      <c r="N354" s="5">
        <v>21348.61</v>
      </c>
      <c r="O354" s="5">
        <v>188032047.09999999</v>
      </c>
      <c r="P354" s="5">
        <v>188027301.30000001</v>
      </c>
      <c r="Q354" s="5">
        <v>4745.84</v>
      </c>
      <c r="R354" s="5">
        <v>10756380.5</v>
      </c>
      <c r="S354" s="5">
        <v>29918533.859999999</v>
      </c>
      <c r="T354" s="5">
        <v>50607.91</v>
      </c>
      <c r="U354" s="5">
        <v>15379.91</v>
      </c>
      <c r="V354" s="5">
        <v>3571.19</v>
      </c>
      <c r="W354" s="5">
        <v>1214.48</v>
      </c>
      <c r="X354" s="5">
        <v>1265.42</v>
      </c>
      <c r="Y354" s="4">
        <v>3940958</v>
      </c>
    </row>
    <row r="355" spans="1:25" ht="16.05" customHeight="1" x14ac:dyDescent="0.3">
      <c r="A355" s="7">
        <v>269</v>
      </c>
      <c r="B355" s="7">
        <v>4</v>
      </c>
      <c r="C355" s="7">
        <v>2023</v>
      </c>
      <c r="D355" s="8" t="s">
        <v>25</v>
      </c>
      <c r="E355" s="9">
        <v>4637</v>
      </c>
      <c r="F355" s="10">
        <v>208686879.5</v>
      </c>
      <c r="G355" s="10">
        <v>47726689.350000001</v>
      </c>
      <c r="H355" s="11">
        <v>22.87</v>
      </c>
      <c r="I355" s="11">
        <v>12.5</v>
      </c>
      <c r="J355" s="10">
        <v>11296.26</v>
      </c>
      <c r="K355" s="10">
        <v>15430.06</v>
      </c>
      <c r="L355" s="10">
        <v>208596386.09999999</v>
      </c>
      <c r="M355" s="10">
        <v>208672347.80000001</v>
      </c>
      <c r="N355" s="10">
        <v>90493.46</v>
      </c>
      <c r="O355" s="10">
        <v>208604632.80000001</v>
      </c>
      <c r="P355" s="10">
        <v>208597314.90000001</v>
      </c>
      <c r="Q355" s="10">
        <v>7317.96</v>
      </c>
      <c r="R355" s="10">
        <v>26085859.940000001</v>
      </c>
      <c r="S355" s="10">
        <v>21640829.41</v>
      </c>
      <c r="T355" s="10">
        <v>60927.040000000001</v>
      </c>
      <c r="U355" s="10">
        <v>46964.97</v>
      </c>
      <c r="V355" s="10">
        <v>6363.13</v>
      </c>
      <c r="W355" s="10">
        <v>1883.62</v>
      </c>
      <c r="X355" s="10">
        <v>1466.24</v>
      </c>
      <c r="Y355" s="9">
        <v>1696632</v>
      </c>
    </row>
    <row r="356" spans="1:25" ht="16.05" customHeight="1" x14ac:dyDescent="0.3">
      <c r="A356" s="2">
        <v>339</v>
      </c>
      <c r="B356" s="2">
        <v>5</v>
      </c>
      <c r="C356" s="2">
        <v>2023</v>
      </c>
      <c r="D356" s="3" t="s">
        <v>25</v>
      </c>
      <c r="E356" s="4">
        <v>1586</v>
      </c>
      <c r="F356" s="5">
        <v>76355178.180000007</v>
      </c>
      <c r="G356" s="5">
        <v>11239482.23</v>
      </c>
      <c r="H356" s="6">
        <v>14.72</v>
      </c>
      <c r="I356" s="6">
        <v>13.97</v>
      </c>
      <c r="J356" s="5">
        <v>1580.37</v>
      </c>
      <c r="K356" s="5">
        <v>13541.35</v>
      </c>
      <c r="L356" s="5">
        <v>76309263.349999994</v>
      </c>
      <c r="M356" s="5">
        <v>76342392.219999999</v>
      </c>
      <c r="N356" s="5">
        <v>45914.83</v>
      </c>
      <c r="O356" s="5">
        <v>76315724.790000007</v>
      </c>
      <c r="P356" s="5">
        <v>76304750.689999998</v>
      </c>
      <c r="Q356" s="5">
        <v>10974.1</v>
      </c>
      <c r="R356" s="5">
        <v>10666818.390000001</v>
      </c>
      <c r="S356" s="5">
        <v>572663.84</v>
      </c>
      <c r="T356" s="5">
        <v>106167.12</v>
      </c>
      <c r="U356" s="5">
        <v>32334.26</v>
      </c>
      <c r="V356" s="5">
        <v>4343.3900000000003</v>
      </c>
      <c r="W356" s="5">
        <v>2118.0500000000002</v>
      </c>
      <c r="X356" s="5">
        <v>3926.13</v>
      </c>
      <c r="Y356" s="4">
        <v>3810409</v>
      </c>
    </row>
    <row r="357" spans="1:25" ht="16.05" customHeight="1" x14ac:dyDescent="0.3">
      <c r="A357" s="7">
        <v>409</v>
      </c>
      <c r="B357" s="7">
        <v>6</v>
      </c>
      <c r="C357" s="7">
        <v>2023</v>
      </c>
      <c r="D357" s="8" t="s">
        <v>25</v>
      </c>
      <c r="E357" s="9">
        <v>6615</v>
      </c>
      <c r="F357" s="10">
        <v>299566662.60000002</v>
      </c>
      <c r="G357" s="10">
        <v>81961438.900000006</v>
      </c>
      <c r="H357" s="11">
        <v>27.36</v>
      </c>
      <c r="I357" s="11">
        <v>14.25</v>
      </c>
      <c r="J357" s="10">
        <v>2346.58</v>
      </c>
      <c r="K357" s="10">
        <v>10027.709999999999</v>
      </c>
      <c r="L357" s="10">
        <v>299500845.10000002</v>
      </c>
      <c r="M357" s="10">
        <v>299551812.60000002</v>
      </c>
      <c r="N357" s="10">
        <v>65817.56</v>
      </c>
      <c r="O357" s="10">
        <v>299516346.5</v>
      </c>
      <c r="P357" s="10">
        <v>299513188.30000001</v>
      </c>
      <c r="Q357" s="10">
        <v>3158.17</v>
      </c>
      <c r="R357" s="10">
        <v>42688249.43</v>
      </c>
      <c r="S357" s="10">
        <v>39273189.469999999</v>
      </c>
      <c r="T357" s="10">
        <v>71969.61</v>
      </c>
      <c r="U357" s="10">
        <v>45792.84</v>
      </c>
      <c r="V357" s="10">
        <v>11230.9</v>
      </c>
      <c r="W357" s="10">
        <v>4270.4799999999996</v>
      </c>
      <c r="X357" s="10">
        <v>4127.08</v>
      </c>
      <c r="Y357" s="9">
        <v>3366591</v>
      </c>
    </row>
    <row r="358" spans="1:25" ht="16.05" customHeight="1" x14ac:dyDescent="0.3">
      <c r="A358" s="2">
        <v>479</v>
      </c>
      <c r="B358" s="2">
        <v>7</v>
      </c>
      <c r="C358" s="2">
        <v>2023</v>
      </c>
      <c r="D358" s="3" t="s">
        <v>25</v>
      </c>
      <c r="E358" s="4">
        <v>1656</v>
      </c>
      <c r="F358" s="5">
        <v>69485693.890000001</v>
      </c>
      <c r="G358" s="5">
        <v>12771470.539999999</v>
      </c>
      <c r="H358" s="6">
        <v>18.38</v>
      </c>
      <c r="I358" s="6">
        <v>7.08</v>
      </c>
      <c r="J358" s="5">
        <v>13014.5</v>
      </c>
      <c r="K358" s="5">
        <v>11844.59</v>
      </c>
      <c r="L358" s="5">
        <v>69388549.260000005</v>
      </c>
      <c r="M358" s="5">
        <v>69474956.569999993</v>
      </c>
      <c r="N358" s="5">
        <v>97144.63</v>
      </c>
      <c r="O358" s="5">
        <v>69398018.400000006</v>
      </c>
      <c r="P358" s="5">
        <v>69386923.780000001</v>
      </c>
      <c r="Q358" s="5">
        <v>11094.62</v>
      </c>
      <c r="R358" s="5">
        <v>4919587.13</v>
      </c>
      <c r="S358" s="5">
        <v>7851883.4100000001</v>
      </c>
      <c r="T358" s="5">
        <v>54789.7</v>
      </c>
      <c r="U358" s="5">
        <v>32371.15</v>
      </c>
      <c r="V358" s="5">
        <v>3267.49</v>
      </c>
      <c r="W358" s="5">
        <v>6201.65</v>
      </c>
      <c r="X358" s="5">
        <v>3355.53</v>
      </c>
      <c r="Y358" s="4">
        <v>1742166</v>
      </c>
    </row>
    <row r="359" spans="1:25" ht="16.05" customHeight="1" x14ac:dyDescent="0.3">
      <c r="A359" s="7">
        <v>549</v>
      </c>
      <c r="B359" s="7">
        <v>8</v>
      </c>
      <c r="C359" s="7">
        <v>2023</v>
      </c>
      <c r="D359" s="8" t="s">
        <v>25</v>
      </c>
      <c r="E359" s="9">
        <v>167</v>
      </c>
      <c r="F359" s="10">
        <v>6577823.5</v>
      </c>
      <c r="G359" s="10">
        <v>1303724.6200000001</v>
      </c>
      <c r="H359" s="11">
        <v>19.82</v>
      </c>
      <c r="I359" s="11">
        <v>14.84</v>
      </c>
      <c r="J359" s="10">
        <v>12775.25</v>
      </c>
      <c r="K359" s="10">
        <v>7284.16</v>
      </c>
      <c r="L359" s="10">
        <v>6516451.3799999999</v>
      </c>
      <c r="M359" s="10">
        <v>6560359.1900000004</v>
      </c>
      <c r="N359" s="10">
        <v>61372.12</v>
      </c>
      <c r="O359" s="10">
        <v>6531362.5800000001</v>
      </c>
      <c r="P359" s="10">
        <v>6528846.6500000004</v>
      </c>
      <c r="Q359" s="10">
        <v>2515.9299999999998</v>
      </c>
      <c r="R359" s="10">
        <v>976149.01</v>
      </c>
      <c r="S359" s="10">
        <v>327575.61</v>
      </c>
      <c r="T359" s="10">
        <v>72618.259999999995</v>
      </c>
      <c r="U359" s="10">
        <v>24596.12</v>
      </c>
      <c r="V359" s="10">
        <v>7724.29</v>
      </c>
      <c r="W359" s="10">
        <v>7186.91</v>
      </c>
      <c r="X359" s="10">
        <v>4178.6000000000004</v>
      </c>
      <c r="Y359" s="9">
        <v>4360350</v>
      </c>
    </row>
    <row r="360" spans="1:25" ht="16.05" customHeight="1" x14ac:dyDescent="0.3">
      <c r="A360" s="2">
        <v>619</v>
      </c>
      <c r="B360" s="2">
        <v>9</v>
      </c>
      <c r="C360" s="2">
        <v>2023</v>
      </c>
      <c r="D360" s="3" t="s">
        <v>25</v>
      </c>
      <c r="E360" s="4">
        <v>5962</v>
      </c>
      <c r="F360" s="5">
        <v>404429506.5</v>
      </c>
      <c r="G360" s="5">
        <v>39027447.369999997</v>
      </c>
      <c r="H360" s="6">
        <v>9.65</v>
      </c>
      <c r="I360" s="6">
        <v>11.09</v>
      </c>
      <c r="J360" s="5">
        <v>2282.64</v>
      </c>
      <c r="K360" s="5">
        <v>17355.45</v>
      </c>
      <c r="L360" s="5">
        <v>404370788.89999998</v>
      </c>
      <c r="M360" s="5">
        <v>404421935.39999998</v>
      </c>
      <c r="N360" s="5">
        <v>58717.58</v>
      </c>
      <c r="O360" s="5">
        <v>404377005.60000002</v>
      </c>
      <c r="P360" s="5">
        <v>404363069.30000001</v>
      </c>
      <c r="Q360" s="5">
        <v>13936.34</v>
      </c>
      <c r="R360" s="5">
        <v>44851232.270000003</v>
      </c>
      <c r="S360" s="5">
        <v>-5823784.8899999997</v>
      </c>
      <c r="T360" s="5">
        <v>32457.87</v>
      </c>
      <c r="U360" s="5">
        <v>29978.32</v>
      </c>
      <c r="V360" s="5">
        <v>3961.06</v>
      </c>
      <c r="W360" s="5">
        <v>2255.67</v>
      </c>
      <c r="X360" s="5">
        <v>1318.9</v>
      </c>
      <c r="Y360" s="4">
        <v>4201222</v>
      </c>
    </row>
    <row r="361" spans="1:25" ht="16.05" customHeight="1" x14ac:dyDescent="0.3">
      <c r="A361" s="7">
        <v>689</v>
      </c>
      <c r="B361" s="7">
        <v>10</v>
      </c>
      <c r="C361" s="7">
        <v>2023</v>
      </c>
      <c r="D361" s="8" t="s">
        <v>25</v>
      </c>
      <c r="E361" s="9">
        <v>4401</v>
      </c>
      <c r="F361" s="10">
        <v>92307730.609999999</v>
      </c>
      <c r="G361" s="10">
        <v>17030776.300000001</v>
      </c>
      <c r="H361" s="11">
        <v>18.45</v>
      </c>
      <c r="I361" s="11">
        <v>6.13</v>
      </c>
      <c r="J361" s="10">
        <v>3655.96</v>
      </c>
      <c r="K361" s="10">
        <v>8538.91</v>
      </c>
      <c r="L361" s="10">
        <v>92234396.590000004</v>
      </c>
      <c r="M361" s="10">
        <v>92297334.840000004</v>
      </c>
      <c r="N361" s="10">
        <v>73334.02</v>
      </c>
      <c r="O361" s="10">
        <v>92252371.040000007</v>
      </c>
      <c r="P361" s="10">
        <v>92239869.989999995</v>
      </c>
      <c r="Q361" s="10">
        <v>12501.05</v>
      </c>
      <c r="R361" s="10">
        <v>5658463.8899999997</v>
      </c>
      <c r="S361" s="10">
        <v>11372312.41</v>
      </c>
      <c r="T361" s="10">
        <v>34770.269999999997</v>
      </c>
      <c r="U361" s="10">
        <v>17912.849999999999</v>
      </c>
      <c r="V361" s="10">
        <v>11950.04</v>
      </c>
      <c r="W361" s="10">
        <v>6024.41</v>
      </c>
      <c r="X361" s="10">
        <v>1480.42</v>
      </c>
      <c r="Y361" s="9">
        <v>2441077</v>
      </c>
    </row>
    <row r="362" spans="1:25" ht="16.05" customHeight="1" x14ac:dyDescent="0.3">
      <c r="A362" s="2">
        <v>759</v>
      </c>
      <c r="B362" s="2">
        <v>11</v>
      </c>
      <c r="C362" s="2">
        <v>2023</v>
      </c>
      <c r="D362" s="3" t="s">
        <v>25</v>
      </c>
      <c r="E362" s="4">
        <v>2058</v>
      </c>
      <c r="F362" s="5">
        <v>24652254.989999998</v>
      </c>
      <c r="G362" s="5">
        <v>3747142.76</v>
      </c>
      <c r="H362" s="6">
        <v>15.2</v>
      </c>
      <c r="I362" s="6">
        <v>19.34</v>
      </c>
      <c r="J362" s="5">
        <v>3087.2</v>
      </c>
      <c r="K362" s="5">
        <v>7213.11</v>
      </c>
      <c r="L362" s="5">
        <v>24624893.43</v>
      </c>
      <c r="M362" s="5">
        <v>24629720.899999999</v>
      </c>
      <c r="N362" s="5">
        <v>27361.56</v>
      </c>
      <c r="O362" s="5">
        <v>24639215.18</v>
      </c>
      <c r="P362" s="5">
        <v>24627012.489999998</v>
      </c>
      <c r="Q362" s="5">
        <v>12202.69</v>
      </c>
      <c r="R362" s="5">
        <v>4767746.12</v>
      </c>
      <c r="S362" s="5">
        <v>-1020603.36</v>
      </c>
      <c r="T362" s="5">
        <v>76939.78</v>
      </c>
      <c r="U362" s="5">
        <v>58781.81</v>
      </c>
      <c r="V362" s="5">
        <v>6458.88</v>
      </c>
      <c r="W362" s="5">
        <v>7862.87</v>
      </c>
      <c r="X362" s="5">
        <v>4605.18</v>
      </c>
      <c r="Y362" s="4">
        <v>2733611</v>
      </c>
    </row>
    <row r="363" spans="1:25" ht="16.05" customHeight="1" x14ac:dyDescent="0.3">
      <c r="A363" s="7">
        <v>829</v>
      </c>
      <c r="B363" s="7">
        <v>12</v>
      </c>
      <c r="C363" s="7">
        <v>2023</v>
      </c>
      <c r="D363" s="8" t="s">
        <v>25</v>
      </c>
      <c r="E363" s="9">
        <v>3216</v>
      </c>
      <c r="F363" s="10">
        <v>41990683.5</v>
      </c>
      <c r="G363" s="10">
        <v>11173720.880000001</v>
      </c>
      <c r="H363" s="11">
        <v>26.61</v>
      </c>
      <c r="I363" s="11">
        <v>14.42</v>
      </c>
      <c r="J363" s="10">
        <v>4638.78</v>
      </c>
      <c r="K363" s="10">
        <v>3603.44</v>
      </c>
      <c r="L363" s="10">
        <v>41922959.140000001</v>
      </c>
      <c r="M363" s="10">
        <v>41967825.380000003</v>
      </c>
      <c r="N363" s="10">
        <v>67724.36</v>
      </c>
      <c r="O363" s="10">
        <v>41932387.200000003</v>
      </c>
      <c r="P363" s="10">
        <v>41924956.450000003</v>
      </c>
      <c r="Q363" s="10">
        <v>7430.75</v>
      </c>
      <c r="R363" s="10">
        <v>6055056.5599999996</v>
      </c>
      <c r="S363" s="10">
        <v>5118664.32</v>
      </c>
      <c r="T363" s="10">
        <v>69323.070000000007</v>
      </c>
      <c r="U363" s="10">
        <v>9355.59</v>
      </c>
      <c r="V363" s="10">
        <v>1929.71</v>
      </c>
      <c r="W363" s="10">
        <v>7498.35</v>
      </c>
      <c r="X363" s="10">
        <v>3243.99</v>
      </c>
      <c r="Y363" s="9">
        <v>4697492</v>
      </c>
    </row>
    <row r="364" spans="1:25" ht="16.05" customHeight="1" x14ac:dyDescent="0.3">
      <c r="A364" s="2">
        <v>899</v>
      </c>
      <c r="B364" s="2">
        <v>13</v>
      </c>
      <c r="C364" s="2">
        <v>2023</v>
      </c>
      <c r="D364" s="3" t="s">
        <v>25</v>
      </c>
      <c r="E364" s="4">
        <v>1917</v>
      </c>
      <c r="F364" s="5">
        <v>104997744.2</v>
      </c>
      <c r="G364" s="5">
        <v>18049112.23</v>
      </c>
      <c r="H364" s="6">
        <v>17.190000000000001</v>
      </c>
      <c r="I364" s="6">
        <v>11.73</v>
      </c>
      <c r="J364" s="5">
        <v>7181.69</v>
      </c>
      <c r="K364" s="5">
        <v>3200.65</v>
      </c>
      <c r="L364" s="5">
        <v>104945110.3</v>
      </c>
      <c r="M364" s="5">
        <v>104992410.90000001</v>
      </c>
      <c r="N364" s="5">
        <v>52633.9</v>
      </c>
      <c r="O364" s="5">
        <v>104956048.7</v>
      </c>
      <c r="P364" s="5">
        <v>104944544.59999999</v>
      </c>
      <c r="Q364" s="5">
        <v>11504.06</v>
      </c>
      <c r="R364" s="5">
        <v>12316235.4</v>
      </c>
      <c r="S364" s="5">
        <v>5732876.8300000001</v>
      </c>
      <c r="T364" s="5">
        <v>115904.05</v>
      </c>
      <c r="U364" s="5">
        <v>30343.71</v>
      </c>
      <c r="V364" s="5">
        <v>6563.53</v>
      </c>
      <c r="W364" s="5">
        <v>4374.84</v>
      </c>
      <c r="X364" s="5">
        <v>2439.34</v>
      </c>
      <c r="Y364" s="4">
        <v>3524722</v>
      </c>
    </row>
    <row r="365" spans="1:25" ht="16.05" customHeight="1" x14ac:dyDescent="0.3">
      <c r="A365" s="7">
        <v>969</v>
      </c>
      <c r="B365" s="7">
        <v>14</v>
      </c>
      <c r="C365" s="7">
        <v>2023</v>
      </c>
      <c r="D365" s="8" t="s">
        <v>25</v>
      </c>
      <c r="E365" s="9">
        <v>4670</v>
      </c>
      <c r="F365" s="10">
        <v>260836635.40000001</v>
      </c>
      <c r="G365" s="10">
        <v>18884572.399999999</v>
      </c>
      <c r="H365" s="11">
        <v>7.24</v>
      </c>
      <c r="I365" s="11">
        <v>6.81</v>
      </c>
      <c r="J365" s="10">
        <v>4216.82</v>
      </c>
      <c r="K365" s="10">
        <v>18275.55</v>
      </c>
      <c r="L365" s="10">
        <v>260810564.90000001</v>
      </c>
      <c r="M365" s="10">
        <v>260816162.5</v>
      </c>
      <c r="N365" s="10">
        <v>26070.5</v>
      </c>
      <c r="O365" s="10">
        <v>260825716.90000001</v>
      </c>
      <c r="P365" s="10">
        <v>260815891.69999999</v>
      </c>
      <c r="Q365" s="10">
        <v>9825.19</v>
      </c>
      <c r="R365" s="10">
        <v>17762974.870000001</v>
      </c>
      <c r="S365" s="10">
        <v>1121597.53</v>
      </c>
      <c r="T365" s="10">
        <v>55226.47</v>
      </c>
      <c r="U365" s="10">
        <v>19276.02</v>
      </c>
      <c r="V365" s="10">
        <v>7325.6</v>
      </c>
      <c r="W365" s="10">
        <v>7826.39</v>
      </c>
      <c r="X365" s="10">
        <v>3856.8</v>
      </c>
      <c r="Y365" s="9">
        <v>3447388</v>
      </c>
    </row>
    <row r="366" spans="1:25" ht="16.05" customHeight="1" x14ac:dyDescent="0.3">
      <c r="A366" s="2">
        <v>1039</v>
      </c>
      <c r="B366" s="2">
        <v>15</v>
      </c>
      <c r="C366" s="2">
        <v>2023</v>
      </c>
      <c r="D366" s="3" t="s">
        <v>25</v>
      </c>
      <c r="E366" s="4">
        <v>104</v>
      </c>
      <c r="F366" s="5">
        <v>3843439.36</v>
      </c>
      <c r="G366" s="5">
        <v>656459.43999999994</v>
      </c>
      <c r="H366" s="6">
        <v>17.079999999999998</v>
      </c>
      <c r="I366" s="6">
        <v>11.74</v>
      </c>
      <c r="J366" s="5">
        <v>11353.93</v>
      </c>
      <c r="K366" s="5">
        <v>14654.97</v>
      </c>
      <c r="L366" s="5">
        <v>3747869.38</v>
      </c>
      <c r="M366" s="5">
        <v>3826622.92</v>
      </c>
      <c r="N366" s="5">
        <v>95569.98</v>
      </c>
      <c r="O366" s="5">
        <v>3765420.2</v>
      </c>
      <c r="P366" s="5">
        <v>3762341.88</v>
      </c>
      <c r="Q366" s="5">
        <v>3078.32</v>
      </c>
      <c r="R366" s="5">
        <v>451219.78</v>
      </c>
      <c r="S366" s="5">
        <v>205239.66</v>
      </c>
      <c r="T366" s="5">
        <v>28114</v>
      </c>
      <c r="U366" s="5">
        <v>35475.89</v>
      </c>
      <c r="V366" s="5">
        <v>10825.34</v>
      </c>
      <c r="W366" s="5">
        <v>6725.48</v>
      </c>
      <c r="X366" s="5">
        <v>2159.63</v>
      </c>
      <c r="Y366" s="4">
        <v>3578777</v>
      </c>
    </row>
    <row r="367" spans="1:25" ht="16.05" customHeight="1" x14ac:dyDescent="0.3">
      <c r="A367" s="7">
        <v>1109</v>
      </c>
      <c r="B367" s="7">
        <v>16</v>
      </c>
      <c r="C367" s="7">
        <v>2023</v>
      </c>
      <c r="D367" s="8" t="s">
        <v>25</v>
      </c>
      <c r="E367" s="9">
        <v>6209</v>
      </c>
      <c r="F367" s="10">
        <v>163248248.80000001</v>
      </c>
      <c r="G367" s="10">
        <v>46688999.149999999</v>
      </c>
      <c r="H367" s="11">
        <v>28.6</v>
      </c>
      <c r="I367" s="11">
        <v>8.91</v>
      </c>
      <c r="J367" s="10">
        <v>7713.15</v>
      </c>
      <c r="K367" s="10">
        <v>18040.07</v>
      </c>
      <c r="L367" s="10">
        <v>163213110.80000001</v>
      </c>
      <c r="M367" s="10">
        <v>163234581.19999999</v>
      </c>
      <c r="N367" s="10">
        <v>35137.96</v>
      </c>
      <c r="O367" s="10">
        <v>163216186.19999999</v>
      </c>
      <c r="P367" s="10">
        <v>163212577.80000001</v>
      </c>
      <c r="Q367" s="10">
        <v>3608.37</v>
      </c>
      <c r="R367" s="10">
        <v>14545418.960000001</v>
      </c>
      <c r="S367" s="10">
        <v>32143580.18</v>
      </c>
      <c r="T367" s="10">
        <v>69532.800000000003</v>
      </c>
      <c r="U367" s="10">
        <v>32976.29</v>
      </c>
      <c r="V367" s="10">
        <v>1879.62</v>
      </c>
      <c r="W367" s="10">
        <v>1195.79</v>
      </c>
      <c r="X367" s="10">
        <v>4601.54</v>
      </c>
      <c r="Y367" s="9">
        <v>1299510</v>
      </c>
    </row>
    <row r="368" spans="1:25" ht="16.05" customHeight="1" x14ac:dyDescent="0.3">
      <c r="A368" s="2">
        <v>1179</v>
      </c>
      <c r="B368" s="2">
        <v>17</v>
      </c>
      <c r="C368" s="2">
        <v>2023</v>
      </c>
      <c r="D368" s="3" t="s">
        <v>25</v>
      </c>
      <c r="E368" s="4">
        <v>6847</v>
      </c>
      <c r="F368" s="5">
        <v>234537089.59999999</v>
      </c>
      <c r="G368" s="5">
        <v>49065159.149999999</v>
      </c>
      <c r="H368" s="6">
        <v>20.92</v>
      </c>
      <c r="I368" s="6">
        <v>8.64</v>
      </c>
      <c r="J368" s="5">
        <v>1844.58</v>
      </c>
      <c r="K368" s="5">
        <v>2726.19</v>
      </c>
      <c r="L368" s="5">
        <v>234455383.30000001</v>
      </c>
      <c r="M368" s="5">
        <v>234516915.90000001</v>
      </c>
      <c r="N368" s="5">
        <v>81706.37</v>
      </c>
      <c r="O368" s="5">
        <v>234472411.5</v>
      </c>
      <c r="P368" s="5">
        <v>234469234.30000001</v>
      </c>
      <c r="Q368" s="5">
        <v>3177.18</v>
      </c>
      <c r="R368" s="5">
        <v>20264004.539999999</v>
      </c>
      <c r="S368" s="5">
        <v>28801154.609999999</v>
      </c>
      <c r="T368" s="5">
        <v>27851.52</v>
      </c>
      <c r="U368" s="5">
        <v>15117.12</v>
      </c>
      <c r="V368" s="5">
        <v>10941.59</v>
      </c>
      <c r="W368" s="5">
        <v>6086.62</v>
      </c>
      <c r="X368" s="5">
        <v>4615.38</v>
      </c>
      <c r="Y368" s="4">
        <v>3878308</v>
      </c>
    </row>
    <row r="369" spans="1:25" ht="16.05" customHeight="1" x14ac:dyDescent="0.3">
      <c r="A369" s="7">
        <v>1249</v>
      </c>
      <c r="B369" s="7">
        <v>18</v>
      </c>
      <c r="C369" s="7">
        <v>2023</v>
      </c>
      <c r="D369" s="8" t="s">
        <v>25</v>
      </c>
      <c r="E369" s="9">
        <v>678</v>
      </c>
      <c r="F369" s="10">
        <v>21472023.82</v>
      </c>
      <c r="G369" s="10">
        <v>1477275.24</v>
      </c>
      <c r="H369" s="11">
        <v>6.88</v>
      </c>
      <c r="I369" s="11">
        <v>6.76</v>
      </c>
      <c r="J369" s="10">
        <v>9260.6</v>
      </c>
      <c r="K369" s="10">
        <v>2399.6</v>
      </c>
      <c r="L369" s="10">
        <v>21417566.43</v>
      </c>
      <c r="M369" s="10">
        <v>21452704.23</v>
      </c>
      <c r="N369" s="10">
        <v>54457.39</v>
      </c>
      <c r="O369" s="10">
        <v>21431696.059999999</v>
      </c>
      <c r="P369" s="10">
        <v>21429357.899999999</v>
      </c>
      <c r="Q369" s="10">
        <v>2338.16</v>
      </c>
      <c r="R369" s="10">
        <v>1451508.81</v>
      </c>
      <c r="S369" s="10">
        <v>25766.43</v>
      </c>
      <c r="T369" s="10">
        <v>99465.46</v>
      </c>
      <c r="U369" s="10">
        <v>52451.69</v>
      </c>
      <c r="V369" s="10">
        <v>9205.34</v>
      </c>
      <c r="W369" s="10">
        <v>4924.29</v>
      </c>
      <c r="X369" s="10">
        <v>3315.58</v>
      </c>
      <c r="Y369" s="9">
        <v>3111351</v>
      </c>
    </row>
    <row r="370" spans="1:25" ht="16.05" customHeight="1" x14ac:dyDescent="0.3">
      <c r="A370" s="2">
        <v>1319</v>
      </c>
      <c r="B370" s="2">
        <v>19</v>
      </c>
      <c r="C370" s="2">
        <v>2023</v>
      </c>
      <c r="D370" s="3" t="s">
        <v>25</v>
      </c>
      <c r="E370" s="4">
        <v>3333</v>
      </c>
      <c r="F370" s="5">
        <v>131778532.5</v>
      </c>
      <c r="G370" s="5">
        <v>20939608.809999999</v>
      </c>
      <c r="H370" s="6">
        <v>15.89</v>
      </c>
      <c r="I370" s="6">
        <v>16.260000000000002</v>
      </c>
      <c r="J370" s="5">
        <v>9977.65</v>
      </c>
      <c r="K370" s="5">
        <v>2672.16</v>
      </c>
      <c r="L370" s="5">
        <v>131679419.2</v>
      </c>
      <c r="M370" s="5">
        <v>131768536.5</v>
      </c>
      <c r="N370" s="5">
        <v>99113.29</v>
      </c>
      <c r="O370" s="5">
        <v>131684046.90000001</v>
      </c>
      <c r="P370" s="5">
        <v>131674977.09999999</v>
      </c>
      <c r="Q370" s="5">
        <v>9069.81</v>
      </c>
      <c r="R370" s="5">
        <v>21427189.379999999</v>
      </c>
      <c r="S370" s="5">
        <v>-487580.57</v>
      </c>
      <c r="T370" s="5">
        <v>113539.66</v>
      </c>
      <c r="U370" s="5">
        <v>20322.68</v>
      </c>
      <c r="V370" s="5">
        <v>3303.17</v>
      </c>
      <c r="W370" s="5">
        <v>1324.53</v>
      </c>
      <c r="X370" s="5">
        <v>1495.63</v>
      </c>
      <c r="Y370" s="4">
        <v>3653911</v>
      </c>
    </row>
    <row r="371" spans="1:25" ht="16.05" customHeight="1" x14ac:dyDescent="0.3">
      <c r="A371" s="7">
        <v>1389</v>
      </c>
      <c r="B371" s="7">
        <v>20</v>
      </c>
      <c r="C371" s="7">
        <v>2023</v>
      </c>
      <c r="D371" s="8" t="s">
        <v>25</v>
      </c>
      <c r="E371" s="9">
        <v>938</v>
      </c>
      <c r="F371" s="10">
        <v>42570357.810000002</v>
      </c>
      <c r="G371" s="10">
        <v>6091818.2000000002</v>
      </c>
      <c r="H371" s="11">
        <v>14.31</v>
      </c>
      <c r="I371" s="11">
        <v>6.71</v>
      </c>
      <c r="J371" s="10">
        <v>10089.49</v>
      </c>
      <c r="K371" s="10">
        <v>12742.04</v>
      </c>
      <c r="L371" s="10">
        <v>42481188.039999999</v>
      </c>
      <c r="M371" s="10">
        <v>42552389.890000001</v>
      </c>
      <c r="N371" s="10">
        <v>89169.77</v>
      </c>
      <c r="O371" s="10">
        <v>42497125.399999999</v>
      </c>
      <c r="P371" s="10">
        <v>42490403.729999997</v>
      </c>
      <c r="Q371" s="10">
        <v>6721.67</v>
      </c>
      <c r="R371" s="10">
        <v>2856471.01</v>
      </c>
      <c r="S371" s="10">
        <v>3235347.19</v>
      </c>
      <c r="T371" s="10">
        <v>10503.76</v>
      </c>
      <c r="U371" s="10">
        <v>31905.49</v>
      </c>
      <c r="V371" s="10">
        <v>8435.7800000000007</v>
      </c>
      <c r="W371" s="10">
        <v>7501.58</v>
      </c>
      <c r="X371" s="10">
        <v>4544.96</v>
      </c>
      <c r="Y371" s="9">
        <v>3379911</v>
      </c>
    </row>
    <row r="372" spans="1:25" ht="16.05" customHeight="1" x14ac:dyDescent="0.3">
      <c r="A372" s="2">
        <v>1459</v>
      </c>
      <c r="B372" s="2">
        <v>21</v>
      </c>
      <c r="C372" s="2">
        <v>2023</v>
      </c>
      <c r="D372" s="3" t="s">
        <v>25</v>
      </c>
      <c r="E372" s="4">
        <v>3468</v>
      </c>
      <c r="F372" s="5">
        <v>188356175.09999999</v>
      </c>
      <c r="G372" s="5">
        <v>12958904.85</v>
      </c>
      <c r="H372" s="6">
        <v>6.88</v>
      </c>
      <c r="I372" s="6">
        <v>8.3000000000000007</v>
      </c>
      <c r="J372" s="5">
        <v>7014.76</v>
      </c>
      <c r="K372" s="5">
        <v>14802.39</v>
      </c>
      <c r="L372" s="5">
        <v>188257726.19999999</v>
      </c>
      <c r="M372" s="5">
        <v>188334797.09999999</v>
      </c>
      <c r="N372" s="5">
        <v>98448.88</v>
      </c>
      <c r="O372" s="5">
        <v>188268842.90000001</v>
      </c>
      <c r="P372" s="5">
        <v>188266279.59999999</v>
      </c>
      <c r="Q372" s="5">
        <v>2563.3000000000002</v>
      </c>
      <c r="R372" s="5">
        <v>15633562.529999999</v>
      </c>
      <c r="S372" s="5">
        <v>-2674657.69</v>
      </c>
      <c r="T372" s="5">
        <v>10697.26</v>
      </c>
      <c r="U372" s="5">
        <v>26259.63</v>
      </c>
      <c r="V372" s="5">
        <v>7097.68</v>
      </c>
      <c r="W372" s="5">
        <v>4019.03</v>
      </c>
      <c r="X372" s="5">
        <v>4153.03</v>
      </c>
      <c r="Y372" s="4">
        <v>1520665</v>
      </c>
    </row>
    <row r="373" spans="1:25" ht="16.05" customHeight="1" x14ac:dyDescent="0.3">
      <c r="A373" s="7">
        <v>1529</v>
      </c>
      <c r="B373" s="7">
        <v>22</v>
      </c>
      <c r="C373" s="7">
        <v>2023</v>
      </c>
      <c r="D373" s="8" t="s">
        <v>25</v>
      </c>
      <c r="E373" s="9">
        <v>6130</v>
      </c>
      <c r="F373" s="10">
        <v>321588251.5</v>
      </c>
      <c r="G373" s="10">
        <v>26402395.449999999</v>
      </c>
      <c r="H373" s="11">
        <v>8.2100000000000009</v>
      </c>
      <c r="I373" s="11">
        <v>9.06</v>
      </c>
      <c r="J373" s="10">
        <v>6198.04</v>
      </c>
      <c r="K373" s="10">
        <v>4551.42</v>
      </c>
      <c r="L373" s="10">
        <v>321502513.89999998</v>
      </c>
      <c r="M373" s="10">
        <v>321571891.60000002</v>
      </c>
      <c r="N373" s="10">
        <v>85737.58</v>
      </c>
      <c r="O373" s="10">
        <v>321516293.39999998</v>
      </c>
      <c r="P373" s="10">
        <v>321501415.39999998</v>
      </c>
      <c r="Q373" s="10">
        <v>14878.01</v>
      </c>
      <c r="R373" s="10">
        <v>29135895.59</v>
      </c>
      <c r="S373" s="10">
        <v>-2733500.14</v>
      </c>
      <c r="T373" s="10">
        <v>36798.959999999999</v>
      </c>
      <c r="U373" s="10">
        <v>30553.62</v>
      </c>
      <c r="V373" s="10">
        <v>10510.75</v>
      </c>
      <c r="W373" s="10">
        <v>3268.72</v>
      </c>
      <c r="X373" s="10">
        <v>1435.76</v>
      </c>
      <c r="Y373" s="9">
        <v>3896283</v>
      </c>
    </row>
    <row r="374" spans="1:25" ht="16.05" customHeight="1" x14ac:dyDescent="0.3">
      <c r="A374" s="2">
        <v>1599</v>
      </c>
      <c r="B374" s="2">
        <v>23</v>
      </c>
      <c r="C374" s="2">
        <v>2023</v>
      </c>
      <c r="D374" s="3" t="s">
        <v>25</v>
      </c>
      <c r="E374" s="4">
        <v>301</v>
      </c>
      <c r="F374" s="5">
        <v>2557394.36</v>
      </c>
      <c r="G374" s="5">
        <v>581807.22</v>
      </c>
      <c r="H374" s="6">
        <v>22.75</v>
      </c>
      <c r="I374" s="6">
        <v>17.66</v>
      </c>
      <c r="J374" s="5">
        <v>13663.88</v>
      </c>
      <c r="K374" s="5">
        <v>12543.96</v>
      </c>
      <c r="L374" s="5">
        <v>2465524.91</v>
      </c>
      <c r="M374" s="5">
        <v>2546447.5299999998</v>
      </c>
      <c r="N374" s="5">
        <v>91869.45</v>
      </c>
      <c r="O374" s="5">
        <v>2472563.5099999998</v>
      </c>
      <c r="P374" s="5">
        <v>2466896.3199999998</v>
      </c>
      <c r="Q374" s="5">
        <v>5667.19</v>
      </c>
      <c r="R374" s="5">
        <v>451635.84</v>
      </c>
      <c r="S374" s="5">
        <v>130171.37</v>
      </c>
      <c r="T374" s="5">
        <v>43496.98</v>
      </c>
      <c r="U374" s="5">
        <v>9850.25</v>
      </c>
      <c r="V374" s="5">
        <v>2550.4499999999998</v>
      </c>
      <c r="W374" s="5">
        <v>4488.1499999999996</v>
      </c>
      <c r="X374" s="5">
        <v>3733.64</v>
      </c>
      <c r="Y374" s="4">
        <v>1063910</v>
      </c>
    </row>
    <row r="375" spans="1:25" ht="16.05" customHeight="1" x14ac:dyDescent="0.3">
      <c r="A375" s="7">
        <v>1669</v>
      </c>
      <c r="B375" s="7">
        <v>24</v>
      </c>
      <c r="C375" s="7">
        <v>2023</v>
      </c>
      <c r="D375" s="8" t="s">
        <v>25</v>
      </c>
      <c r="E375" s="9">
        <v>1860</v>
      </c>
      <c r="F375" s="10">
        <v>35426341.909999996</v>
      </c>
      <c r="G375" s="10">
        <v>5150990.1100000003</v>
      </c>
      <c r="H375" s="11">
        <v>14.54</v>
      </c>
      <c r="I375" s="11">
        <v>7.66</v>
      </c>
      <c r="J375" s="10">
        <v>11686.17</v>
      </c>
      <c r="K375" s="10">
        <v>12406.47</v>
      </c>
      <c r="L375" s="10">
        <v>35377728.159999996</v>
      </c>
      <c r="M375" s="10">
        <v>35414049.439999998</v>
      </c>
      <c r="N375" s="10">
        <v>48613.75</v>
      </c>
      <c r="O375" s="10">
        <v>35389745.130000003</v>
      </c>
      <c r="P375" s="10">
        <v>35375228.329999998</v>
      </c>
      <c r="Q375" s="10">
        <v>14516.8</v>
      </c>
      <c r="R375" s="10">
        <v>2713657.79</v>
      </c>
      <c r="S375" s="10">
        <v>2437332.3199999998</v>
      </c>
      <c r="T375" s="10">
        <v>82257.98</v>
      </c>
      <c r="U375" s="10">
        <v>19587.93</v>
      </c>
      <c r="V375" s="10">
        <v>10195.11</v>
      </c>
      <c r="W375" s="10">
        <v>1821.86</v>
      </c>
      <c r="X375" s="10">
        <v>4573.3599999999997</v>
      </c>
      <c r="Y375" s="9">
        <v>2796408</v>
      </c>
    </row>
    <row r="376" spans="1:25" ht="16.05" customHeight="1" x14ac:dyDescent="0.3">
      <c r="A376" s="2">
        <v>1739</v>
      </c>
      <c r="B376" s="2">
        <v>25</v>
      </c>
      <c r="C376" s="2">
        <v>2023</v>
      </c>
      <c r="D376" s="3" t="s">
        <v>25</v>
      </c>
      <c r="E376" s="4">
        <v>5279</v>
      </c>
      <c r="F376" s="5">
        <v>294280467.19999999</v>
      </c>
      <c r="G376" s="5">
        <v>24984411.670000002</v>
      </c>
      <c r="H376" s="6">
        <v>8.49</v>
      </c>
      <c r="I376" s="6">
        <v>15.27</v>
      </c>
      <c r="J376" s="5">
        <v>2301</v>
      </c>
      <c r="K376" s="5">
        <v>2255.73</v>
      </c>
      <c r="L376" s="5">
        <v>294253686</v>
      </c>
      <c r="M376" s="5">
        <v>294260752.69999999</v>
      </c>
      <c r="N376" s="5">
        <v>26781.27</v>
      </c>
      <c r="O376" s="5">
        <v>294261452.39999998</v>
      </c>
      <c r="P376" s="5">
        <v>294253632.60000002</v>
      </c>
      <c r="Q376" s="5">
        <v>7819.87</v>
      </c>
      <c r="R376" s="5">
        <v>44936627.350000001</v>
      </c>
      <c r="S376" s="5">
        <v>-19952215.68</v>
      </c>
      <c r="T376" s="5">
        <v>111526.35</v>
      </c>
      <c r="U376" s="5">
        <v>44460.05</v>
      </c>
      <c r="V376" s="5">
        <v>5356.54</v>
      </c>
      <c r="W376" s="5">
        <v>2409.92</v>
      </c>
      <c r="X376" s="5">
        <v>1844.14</v>
      </c>
      <c r="Y376" s="4">
        <v>2480269</v>
      </c>
    </row>
    <row r="377" spans="1:25" ht="16.05" customHeight="1" x14ac:dyDescent="0.3">
      <c r="A377" s="7">
        <v>1809</v>
      </c>
      <c r="B377" s="7">
        <v>26</v>
      </c>
      <c r="C377" s="7">
        <v>2023</v>
      </c>
      <c r="D377" s="8" t="s">
        <v>25</v>
      </c>
      <c r="E377" s="9">
        <v>1980</v>
      </c>
      <c r="F377" s="10">
        <v>69827033.840000004</v>
      </c>
      <c r="G377" s="10">
        <v>8169762.96</v>
      </c>
      <c r="H377" s="11">
        <v>11.7</v>
      </c>
      <c r="I377" s="11">
        <v>16.53</v>
      </c>
      <c r="J377" s="10">
        <v>1041.5999999999999</v>
      </c>
      <c r="K377" s="10">
        <v>17479.310000000001</v>
      </c>
      <c r="L377" s="10">
        <v>69727614.390000001</v>
      </c>
      <c r="M377" s="10">
        <v>69814029.659999996</v>
      </c>
      <c r="N377" s="10">
        <v>99419.45</v>
      </c>
      <c r="O377" s="10">
        <v>69740512.670000002</v>
      </c>
      <c r="P377" s="10">
        <v>69735710.439999998</v>
      </c>
      <c r="Q377" s="10">
        <v>4802.2299999999996</v>
      </c>
      <c r="R377" s="10">
        <v>11542408.689999999</v>
      </c>
      <c r="S377" s="10">
        <v>-3372645.73</v>
      </c>
      <c r="T377" s="10">
        <v>89021.43</v>
      </c>
      <c r="U377" s="10">
        <v>5657.66</v>
      </c>
      <c r="V377" s="10">
        <v>10642.83</v>
      </c>
      <c r="W377" s="10">
        <v>2255.4499999999998</v>
      </c>
      <c r="X377" s="10">
        <v>2229.29</v>
      </c>
      <c r="Y377" s="9">
        <v>3306903</v>
      </c>
    </row>
    <row r="378" spans="1:25" ht="16.05" customHeight="1" x14ac:dyDescent="0.3">
      <c r="A378" s="2">
        <v>1879</v>
      </c>
      <c r="B378" s="2">
        <v>27</v>
      </c>
      <c r="C378" s="2">
        <v>2023</v>
      </c>
      <c r="D378" s="3" t="s">
        <v>25</v>
      </c>
      <c r="E378" s="4">
        <v>5693</v>
      </c>
      <c r="F378" s="5">
        <v>247467732.09999999</v>
      </c>
      <c r="G378" s="5">
        <v>32269792.27</v>
      </c>
      <c r="H378" s="6">
        <v>13.04</v>
      </c>
      <c r="I378" s="6">
        <v>15.73</v>
      </c>
      <c r="J378" s="5">
        <v>6521.83</v>
      </c>
      <c r="K378" s="5">
        <v>15728.82</v>
      </c>
      <c r="L378" s="5">
        <v>247428738.5</v>
      </c>
      <c r="M378" s="5">
        <v>247444784.09999999</v>
      </c>
      <c r="N378" s="5">
        <v>38993.65</v>
      </c>
      <c r="O378" s="5">
        <v>247439060.30000001</v>
      </c>
      <c r="P378" s="5">
        <v>247435053.90000001</v>
      </c>
      <c r="Q378" s="5">
        <v>4006.43</v>
      </c>
      <c r="R378" s="5">
        <v>38926674.259999998</v>
      </c>
      <c r="S378" s="5">
        <v>-6656881.9900000002</v>
      </c>
      <c r="T378" s="5">
        <v>112567.76</v>
      </c>
      <c r="U378" s="5">
        <v>55608.58</v>
      </c>
      <c r="V378" s="5">
        <v>6505.87</v>
      </c>
      <c r="W378" s="5">
        <v>3815.96</v>
      </c>
      <c r="X378" s="5">
        <v>1085.6099999999999</v>
      </c>
      <c r="Y378" s="4">
        <v>1231341</v>
      </c>
    </row>
    <row r="379" spans="1:25" ht="16.05" customHeight="1" x14ac:dyDescent="0.3">
      <c r="A379" s="7">
        <v>1949</v>
      </c>
      <c r="B379" s="7">
        <v>28</v>
      </c>
      <c r="C379" s="7">
        <v>2023</v>
      </c>
      <c r="D379" s="8" t="s">
        <v>25</v>
      </c>
      <c r="E379" s="9">
        <v>3145</v>
      </c>
      <c r="F379" s="10">
        <v>109672332.7</v>
      </c>
      <c r="G379" s="10">
        <v>8949262.3499999996</v>
      </c>
      <c r="H379" s="11">
        <v>8.16</v>
      </c>
      <c r="I379" s="11">
        <v>9.57</v>
      </c>
      <c r="J379" s="10">
        <v>5362.55</v>
      </c>
      <c r="K379" s="10">
        <v>12250.94</v>
      </c>
      <c r="L379" s="10">
        <v>109617353.09999999</v>
      </c>
      <c r="M379" s="10">
        <v>109665625.8</v>
      </c>
      <c r="N379" s="10">
        <v>54979.57</v>
      </c>
      <c r="O379" s="10">
        <v>109626923</v>
      </c>
      <c r="P379" s="10">
        <v>109622677.2</v>
      </c>
      <c r="Q379" s="10">
        <v>4245.8100000000004</v>
      </c>
      <c r="R379" s="10">
        <v>10495642.24</v>
      </c>
      <c r="S379" s="10">
        <v>-1546379.89</v>
      </c>
      <c r="T379" s="10">
        <v>68709.67</v>
      </c>
      <c r="U379" s="10">
        <v>15821.73</v>
      </c>
      <c r="V379" s="10">
        <v>1861.56</v>
      </c>
      <c r="W379" s="10">
        <v>7708.28</v>
      </c>
      <c r="X379" s="10">
        <v>3333.28</v>
      </c>
      <c r="Y379" s="9">
        <v>3514526</v>
      </c>
    </row>
    <row r="380" spans="1:25" ht="16.05" customHeight="1" x14ac:dyDescent="0.3">
      <c r="A380" s="2">
        <v>2019</v>
      </c>
      <c r="B380" s="2">
        <v>29</v>
      </c>
      <c r="C380" s="2">
        <v>2023</v>
      </c>
      <c r="D380" s="3" t="s">
        <v>25</v>
      </c>
      <c r="E380" s="4">
        <v>6010</v>
      </c>
      <c r="F380" s="5">
        <v>393359969.30000001</v>
      </c>
      <c r="G380" s="5">
        <v>103217656</v>
      </c>
      <c r="H380" s="6">
        <v>26.24</v>
      </c>
      <c r="I380" s="6">
        <v>18.96</v>
      </c>
      <c r="J380" s="5">
        <v>2394.27</v>
      </c>
      <c r="K380" s="5">
        <v>14005.7</v>
      </c>
      <c r="L380" s="5">
        <v>393292458.60000002</v>
      </c>
      <c r="M380" s="5">
        <v>393351969.19999999</v>
      </c>
      <c r="N380" s="5">
        <v>67510.77</v>
      </c>
      <c r="O380" s="5">
        <v>393301454</v>
      </c>
      <c r="P380" s="5">
        <v>393300201.69999999</v>
      </c>
      <c r="Q380" s="5">
        <v>1252.26</v>
      </c>
      <c r="R380" s="5">
        <v>74581050.180000007</v>
      </c>
      <c r="S380" s="5">
        <v>28636605.77</v>
      </c>
      <c r="T380" s="5">
        <v>80969.77</v>
      </c>
      <c r="U380" s="5">
        <v>24885.88</v>
      </c>
      <c r="V380" s="5">
        <v>4374.8999999999996</v>
      </c>
      <c r="W380" s="5">
        <v>4620.5200000000004</v>
      </c>
      <c r="X380" s="5">
        <v>3669.16</v>
      </c>
      <c r="Y380" s="4">
        <v>2980629</v>
      </c>
    </row>
    <row r="381" spans="1:25" ht="16.05" customHeight="1" x14ac:dyDescent="0.3">
      <c r="A381" s="7">
        <v>2089</v>
      </c>
      <c r="B381" s="7">
        <v>30</v>
      </c>
      <c r="C381" s="7">
        <v>2023</v>
      </c>
      <c r="D381" s="8" t="s">
        <v>25</v>
      </c>
      <c r="E381" s="9">
        <v>6743</v>
      </c>
      <c r="F381" s="10">
        <v>420805511.69999999</v>
      </c>
      <c r="G381" s="10">
        <v>40481490.219999999</v>
      </c>
      <c r="H381" s="11">
        <v>9.6199999999999992</v>
      </c>
      <c r="I381" s="11">
        <v>5.81</v>
      </c>
      <c r="J381" s="10">
        <v>14452.72</v>
      </c>
      <c r="K381" s="10">
        <v>12561.18</v>
      </c>
      <c r="L381" s="10">
        <v>420766248</v>
      </c>
      <c r="M381" s="10">
        <v>420785252.19999999</v>
      </c>
      <c r="N381" s="10">
        <v>39263.71</v>
      </c>
      <c r="O381" s="10">
        <v>420772507.30000001</v>
      </c>
      <c r="P381" s="10">
        <v>420757935.60000002</v>
      </c>
      <c r="Q381" s="10">
        <v>14571.77</v>
      </c>
      <c r="R381" s="10">
        <v>24448800.23</v>
      </c>
      <c r="S381" s="10">
        <v>16032689.99</v>
      </c>
      <c r="T381" s="10">
        <v>112389.33</v>
      </c>
      <c r="U381" s="10">
        <v>43368.63</v>
      </c>
      <c r="V381" s="10">
        <v>2502.6999999999998</v>
      </c>
      <c r="W381" s="10">
        <v>3756.69</v>
      </c>
      <c r="X381" s="10">
        <v>1541.14</v>
      </c>
      <c r="Y381" s="9">
        <v>2014007</v>
      </c>
    </row>
    <row r="382" spans="1:25" ht="16.05" customHeight="1" x14ac:dyDescent="0.3">
      <c r="A382" s="2">
        <v>2159</v>
      </c>
      <c r="B382" s="2">
        <v>31</v>
      </c>
      <c r="C382" s="2">
        <v>2023</v>
      </c>
      <c r="D382" s="3" t="s">
        <v>25</v>
      </c>
      <c r="E382" s="4">
        <v>2869</v>
      </c>
      <c r="F382" s="5">
        <v>21289091.859999999</v>
      </c>
      <c r="G382" s="5">
        <v>3467993.06</v>
      </c>
      <c r="H382" s="6">
        <v>16.29</v>
      </c>
      <c r="I382" s="6">
        <v>18.93</v>
      </c>
      <c r="J382" s="5">
        <v>10446.25</v>
      </c>
      <c r="K382" s="5">
        <v>7055.14</v>
      </c>
      <c r="L382" s="5">
        <v>21201289.850000001</v>
      </c>
      <c r="M382" s="5">
        <v>21265148.010000002</v>
      </c>
      <c r="N382" s="5">
        <v>87802.01</v>
      </c>
      <c r="O382" s="5">
        <v>21207662.18</v>
      </c>
      <c r="P382" s="5">
        <v>21197841.75</v>
      </c>
      <c r="Q382" s="5">
        <v>9820.43</v>
      </c>
      <c r="R382" s="5">
        <v>4030025.09</v>
      </c>
      <c r="S382" s="5">
        <v>-562032.03</v>
      </c>
      <c r="T382" s="5">
        <v>101825.07</v>
      </c>
      <c r="U382" s="5">
        <v>13366.91</v>
      </c>
      <c r="V382" s="5">
        <v>2851</v>
      </c>
      <c r="W382" s="5">
        <v>3521.33</v>
      </c>
      <c r="X382" s="5">
        <v>4692.17</v>
      </c>
      <c r="Y382" s="4">
        <v>2469317</v>
      </c>
    </row>
    <row r="383" spans="1:25" ht="16.05" customHeight="1" x14ac:dyDescent="0.3">
      <c r="A383" s="7">
        <v>2229</v>
      </c>
      <c r="B383" s="7">
        <v>32</v>
      </c>
      <c r="C383" s="7">
        <v>2023</v>
      </c>
      <c r="D383" s="8" t="s">
        <v>25</v>
      </c>
      <c r="E383" s="9">
        <v>5625</v>
      </c>
      <c r="F383" s="10">
        <v>279448826</v>
      </c>
      <c r="G383" s="10">
        <v>30739370.859999999</v>
      </c>
      <c r="H383" s="11">
        <v>11</v>
      </c>
      <c r="I383" s="11">
        <v>19.75</v>
      </c>
      <c r="J383" s="10">
        <v>5512.01</v>
      </c>
      <c r="K383" s="10">
        <v>4616.9799999999996</v>
      </c>
      <c r="L383" s="10">
        <v>279380327.69999999</v>
      </c>
      <c r="M383" s="10">
        <v>279423322</v>
      </c>
      <c r="N383" s="10">
        <v>68498.350000000006</v>
      </c>
      <c r="O383" s="10">
        <v>279390297</v>
      </c>
      <c r="P383" s="10">
        <v>279386881.80000001</v>
      </c>
      <c r="Q383" s="10">
        <v>3415.26</v>
      </c>
      <c r="R383" s="10">
        <v>55191143.140000001</v>
      </c>
      <c r="S383" s="10">
        <v>-24451772.280000001</v>
      </c>
      <c r="T383" s="10">
        <v>23637.05</v>
      </c>
      <c r="U383" s="10">
        <v>37137.14</v>
      </c>
      <c r="V383" s="10">
        <v>8427.58</v>
      </c>
      <c r="W383" s="10">
        <v>1541.79</v>
      </c>
      <c r="X383" s="10">
        <v>3527.5</v>
      </c>
      <c r="Y383" s="9">
        <v>2643087</v>
      </c>
    </row>
    <row r="384" spans="1:25" ht="16.05" customHeight="1" x14ac:dyDescent="0.3">
      <c r="A384" s="2">
        <v>2299</v>
      </c>
      <c r="B384" s="2">
        <v>33</v>
      </c>
      <c r="C384" s="2">
        <v>2023</v>
      </c>
      <c r="D384" s="3" t="s">
        <v>25</v>
      </c>
      <c r="E384" s="4">
        <v>5973</v>
      </c>
      <c r="F384" s="5">
        <v>103287599.40000001</v>
      </c>
      <c r="G384" s="5">
        <v>29498938.379999999</v>
      </c>
      <c r="H384" s="6">
        <v>28.56</v>
      </c>
      <c r="I384" s="6">
        <v>7.34</v>
      </c>
      <c r="J384" s="5">
        <v>13606.99</v>
      </c>
      <c r="K384" s="5">
        <v>11669.67</v>
      </c>
      <c r="L384" s="5">
        <v>103234672.7</v>
      </c>
      <c r="M384" s="5">
        <v>103264126.5</v>
      </c>
      <c r="N384" s="5">
        <v>52926.69</v>
      </c>
      <c r="O384" s="5">
        <v>103246356.2</v>
      </c>
      <c r="P384" s="5">
        <v>103239241.59999999</v>
      </c>
      <c r="Q384" s="5">
        <v>7114.59</v>
      </c>
      <c r="R384" s="5">
        <v>7581309.79</v>
      </c>
      <c r="S384" s="5">
        <v>21917628.59</v>
      </c>
      <c r="T384" s="5">
        <v>83841.41</v>
      </c>
      <c r="U384" s="5">
        <v>28703.41</v>
      </c>
      <c r="V384" s="5">
        <v>6354.1</v>
      </c>
      <c r="W384" s="5">
        <v>5329.45</v>
      </c>
      <c r="X384" s="5">
        <v>3235</v>
      </c>
      <c r="Y384" s="4">
        <v>1197535</v>
      </c>
    </row>
    <row r="385" spans="1:25" ht="16.05" customHeight="1" x14ac:dyDescent="0.3">
      <c r="A385" s="7">
        <v>2369</v>
      </c>
      <c r="B385" s="7">
        <v>34</v>
      </c>
      <c r="C385" s="7">
        <v>2023</v>
      </c>
      <c r="D385" s="8" t="s">
        <v>25</v>
      </c>
      <c r="E385" s="9">
        <v>2609</v>
      </c>
      <c r="F385" s="10">
        <v>174663824.19999999</v>
      </c>
      <c r="G385" s="10">
        <v>24976926.859999999</v>
      </c>
      <c r="H385" s="11">
        <v>14.3</v>
      </c>
      <c r="I385" s="11">
        <v>18.149999999999999</v>
      </c>
      <c r="J385" s="10">
        <v>1890.47</v>
      </c>
      <c r="K385" s="10">
        <v>11353.61</v>
      </c>
      <c r="L385" s="10">
        <v>174589660.19999999</v>
      </c>
      <c r="M385" s="10">
        <v>174651155.5</v>
      </c>
      <c r="N385" s="10">
        <v>74163.960000000006</v>
      </c>
      <c r="O385" s="10">
        <v>174597338.5</v>
      </c>
      <c r="P385" s="10">
        <v>174586271</v>
      </c>
      <c r="Q385" s="10">
        <v>11067.49</v>
      </c>
      <c r="R385" s="10">
        <v>31701484.09</v>
      </c>
      <c r="S385" s="10">
        <v>-6724557.2300000004</v>
      </c>
      <c r="T385" s="10">
        <v>33619.089999999997</v>
      </c>
      <c r="U385" s="10">
        <v>19973.060000000001</v>
      </c>
      <c r="V385" s="10">
        <v>4224.38</v>
      </c>
      <c r="W385" s="10">
        <v>3453.89</v>
      </c>
      <c r="X385" s="10">
        <v>1718.68</v>
      </c>
      <c r="Y385" s="9">
        <v>2535894</v>
      </c>
    </row>
    <row r="386" spans="1:25" ht="16.05" customHeight="1" x14ac:dyDescent="0.3">
      <c r="A386" s="2">
        <v>2439</v>
      </c>
      <c r="B386" s="2">
        <v>35</v>
      </c>
      <c r="C386" s="2">
        <v>2023</v>
      </c>
      <c r="D386" s="3" t="s">
        <v>25</v>
      </c>
      <c r="E386" s="4">
        <v>6433</v>
      </c>
      <c r="F386" s="5">
        <v>282449703</v>
      </c>
      <c r="G386" s="5">
        <v>38893324.100000001</v>
      </c>
      <c r="H386" s="6">
        <v>13.77</v>
      </c>
      <c r="I386" s="6">
        <v>18.72</v>
      </c>
      <c r="J386" s="5">
        <v>1529.75</v>
      </c>
      <c r="K386" s="5">
        <v>3265.81</v>
      </c>
      <c r="L386" s="5">
        <v>282404347</v>
      </c>
      <c r="M386" s="5">
        <v>282430249.5</v>
      </c>
      <c r="N386" s="5">
        <v>45356.02</v>
      </c>
      <c r="O386" s="5">
        <v>282410895.89999998</v>
      </c>
      <c r="P386" s="5">
        <v>282405665.10000002</v>
      </c>
      <c r="Q386" s="5">
        <v>5230.84</v>
      </c>
      <c r="R386" s="5">
        <v>52874584.399999999</v>
      </c>
      <c r="S386" s="5">
        <v>-13981260.300000001</v>
      </c>
      <c r="T386" s="5">
        <v>12296.45</v>
      </c>
      <c r="U386" s="5">
        <v>38177.78</v>
      </c>
      <c r="V386" s="5">
        <v>5047.18</v>
      </c>
      <c r="W386" s="5">
        <v>1501.78</v>
      </c>
      <c r="X386" s="5">
        <v>3374.07</v>
      </c>
      <c r="Y386" s="4">
        <v>3490612</v>
      </c>
    </row>
    <row r="387" spans="1:25" ht="16.05" customHeight="1" x14ac:dyDescent="0.3">
      <c r="A387" s="7">
        <v>2509</v>
      </c>
      <c r="B387" s="7">
        <v>36</v>
      </c>
      <c r="C387" s="7">
        <v>2023</v>
      </c>
      <c r="D387" s="8" t="s">
        <v>25</v>
      </c>
      <c r="E387" s="9">
        <v>5906</v>
      </c>
      <c r="F387" s="10">
        <v>298389180.19999999</v>
      </c>
      <c r="G387" s="10">
        <v>53471341.090000004</v>
      </c>
      <c r="H387" s="11">
        <v>17.920000000000002</v>
      </c>
      <c r="I387" s="11">
        <v>18.13</v>
      </c>
      <c r="J387" s="10">
        <v>14013.39</v>
      </c>
      <c r="K387" s="10">
        <v>19099.84</v>
      </c>
      <c r="L387" s="10">
        <v>298325594.39999998</v>
      </c>
      <c r="M387" s="10">
        <v>298374512.69999999</v>
      </c>
      <c r="N387" s="10">
        <v>63585.8</v>
      </c>
      <c r="O387" s="10">
        <v>298341590.19999999</v>
      </c>
      <c r="P387" s="10">
        <v>298330718</v>
      </c>
      <c r="Q387" s="10">
        <v>10872.23</v>
      </c>
      <c r="R387" s="10">
        <v>54097958.359999999</v>
      </c>
      <c r="S387" s="10">
        <v>-626617.28</v>
      </c>
      <c r="T387" s="10">
        <v>17533.68</v>
      </c>
      <c r="U387" s="10">
        <v>23969.439999999999</v>
      </c>
      <c r="V387" s="10">
        <v>8619.82</v>
      </c>
      <c r="W387" s="10">
        <v>7376.01</v>
      </c>
      <c r="X387" s="10">
        <v>3013.32</v>
      </c>
      <c r="Y387" s="9">
        <v>1691944</v>
      </c>
    </row>
    <row r="388" spans="1:25" ht="16.05" customHeight="1" x14ac:dyDescent="0.3">
      <c r="A388" s="2">
        <v>2579</v>
      </c>
      <c r="B388" s="2">
        <v>37</v>
      </c>
      <c r="C388" s="2">
        <v>2023</v>
      </c>
      <c r="D388" s="3" t="s">
        <v>25</v>
      </c>
      <c r="E388" s="4">
        <v>4007</v>
      </c>
      <c r="F388" s="5">
        <v>249147000.69999999</v>
      </c>
      <c r="G388" s="5">
        <v>27406170.079999998</v>
      </c>
      <c r="H388" s="6">
        <v>11</v>
      </c>
      <c r="I388" s="6">
        <v>12.73</v>
      </c>
      <c r="J388" s="5">
        <v>9297.9699999999993</v>
      </c>
      <c r="K388" s="5">
        <v>14585.56</v>
      </c>
      <c r="L388" s="5">
        <v>249108714.80000001</v>
      </c>
      <c r="M388" s="5">
        <v>249135298.5</v>
      </c>
      <c r="N388" s="5">
        <v>38285.86</v>
      </c>
      <c r="O388" s="5">
        <v>249120124.30000001</v>
      </c>
      <c r="P388" s="5">
        <v>249113157.59999999</v>
      </c>
      <c r="Q388" s="5">
        <v>6966.68</v>
      </c>
      <c r="R388" s="5">
        <v>31716413.190000001</v>
      </c>
      <c r="S388" s="5">
        <v>-4310243.1100000003</v>
      </c>
      <c r="T388" s="5">
        <v>58690.1</v>
      </c>
      <c r="U388" s="5">
        <v>56464.21</v>
      </c>
      <c r="V388" s="5">
        <v>7962.36</v>
      </c>
      <c r="W388" s="5">
        <v>3447.06</v>
      </c>
      <c r="X388" s="5">
        <v>1487.32</v>
      </c>
      <c r="Y388" s="4">
        <v>1015746</v>
      </c>
    </row>
    <row r="389" spans="1:25" ht="16.05" customHeight="1" x14ac:dyDescent="0.3">
      <c r="A389" s="7">
        <v>2649</v>
      </c>
      <c r="B389" s="7">
        <v>38</v>
      </c>
      <c r="C389" s="7">
        <v>2023</v>
      </c>
      <c r="D389" s="8" t="s">
        <v>25</v>
      </c>
      <c r="E389" s="9">
        <v>4244</v>
      </c>
      <c r="F389" s="10">
        <v>119278566.7</v>
      </c>
      <c r="G389" s="10">
        <v>35020187.200000003</v>
      </c>
      <c r="H389" s="11">
        <v>29.36</v>
      </c>
      <c r="I389" s="11">
        <v>14.56</v>
      </c>
      <c r="J389" s="10">
        <v>2240.6799999999998</v>
      </c>
      <c r="K389" s="10">
        <v>13240.58</v>
      </c>
      <c r="L389" s="10">
        <v>119246457.7</v>
      </c>
      <c r="M389" s="10">
        <v>119273068.90000001</v>
      </c>
      <c r="N389" s="10">
        <v>32109.040000000001</v>
      </c>
      <c r="O389" s="10">
        <v>119252310.7</v>
      </c>
      <c r="P389" s="10">
        <v>119245249.09999999</v>
      </c>
      <c r="Q389" s="10">
        <v>7061.56</v>
      </c>
      <c r="R389" s="10">
        <v>17366959.32</v>
      </c>
      <c r="S389" s="10">
        <v>17653227.879999999</v>
      </c>
      <c r="T389" s="10">
        <v>108106.98</v>
      </c>
      <c r="U389" s="10">
        <v>32536.49</v>
      </c>
      <c r="V389" s="10">
        <v>1150.19</v>
      </c>
      <c r="W389" s="10">
        <v>4702.76</v>
      </c>
      <c r="X389" s="10">
        <v>1992.28</v>
      </c>
      <c r="Y389" s="9">
        <v>1451262</v>
      </c>
    </row>
    <row r="390" spans="1:25" ht="16.05" customHeight="1" x14ac:dyDescent="0.3">
      <c r="A390" s="2">
        <v>2719</v>
      </c>
      <c r="B390" s="2">
        <v>39</v>
      </c>
      <c r="C390" s="2">
        <v>2023</v>
      </c>
      <c r="D390" s="3" t="s">
        <v>25</v>
      </c>
      <c r="E390" s="4">
        <v>5103</v>
      </c>
      <c r="F390" s="5">
        <v>349703014.69999999</v>
      </c>
      <c r="G390" s="5">
        <v>74801474.840000004</v>
      </c>
      <c r="H390" s="6">
        <v>21.39</v>
      </c>
      <c r="I390" s="6">
        <v>19.899999999999999</v>
      </c>
      <c r="J390" s="5">
        <v>8683.52</v>
      </c>
      <c r="K390" s="5">
        <v>19752.62</v>
      </c>
      <c r="L390" s="5">
        <v>349645992.39999998</v>
      </c>
      <c r="M390" s="5">
        <v>349688865.30000001</v>
      </c>
      <c r="N390" s="5">
        <v>57022.3</v>
      </c>
      <c r="O390" s="5">
        <v>349656147.5</v>
      </c>
      <c r="P390" s="5">
        <v>349644109.60000002</v>
      </c>
      <c r="Q390" s="5">
        <v>12037.91</v>
      </c>
      <c r="R390" s="5">
        <v>69590899.920000002</v>
      </c>
      <c r="S390" s="5">
        <v>5210574.92</v>
      </c>
      <c r="T390" s="5">
        <v>33470.86</v>
      </c>
      <c r="U390" s="5">
        <v>17840.68</v>
      </c>
      <c r="V390" s="5">
        <v>3694.21</v>
      </c>
      <c r="W390" s="5">
        <v>6460.95</v>
      </c>
      <c r="X390" s="5">
        <v>3236.7</v>
      </c>
      <c r="Y390" s="4">
        <v>4068743</v>
      </c>
    </row>
    <row r="391" spans="1:25" ht="16.05" customHeight="1" x14ac:dyDescent="0.3">
      <c r="A391" s="7">
        <v>2789</v>
      </c>
      <c r="B391" s="7">
        <v>40</v>
      </c>
      <c r="C391" s="7">
        <v>2023</v>
      </c>
      <c r="D391" s="8" t="s">
        <v>25</v>
      </c>
      <c r="E391" s="9">
        <v>5940</v>
      </c>
      <c r="F391" s="10">
        <v>285589341.5</v>
      </c>
      <c r="G391" s="10">
        <v>43723728.189999998</v>
      </c>
      <c r="H391" s="11">
        <v>15.31</v>
      </c>
      <c r="I391" s="11">
        <v>7.62</v>
      </c>
      <c r="J391" s="10">
        <v>4847.8</v>
      </c>
      <c r="K391" s="10">
        <v>12255.06</v>
      </c>
      <c r="L391" s="10">
        <v>285555321</v>
      </c>
      <c r="M391" s="10">
        <v>285575628.89999998</v>
      </c>
      <c r="N391" s="10">
        <v>34020.5</v>
      </c>
      <c r="O391" s="10">
        <v>285569548.60000002</v>
      </c>
      <c r="P391" s="10">
        <v>285565112.10000002</v>
      </c>
      <c r="Q391" s="10">
        <v>4436.4799999999996</v>
      </c>
      <c r="R391" s="10">
        <v>21761907.82</v>
      </c>
      <c r="S391" s="10">
        <v>21961820.359999999</v>
      </c>
      <c r="T391" s="10">
        <v>97950.96</v>
      </c>
      <c r="U391" s="10">
        <v>43934.42</v>
      </c>
      <c r="V391" s="10">
        <v>7694.99</v>
      </c>
      <c r="W391" s="10">
        <v>6532.59</v>
      </c>
      <c r="X391" s="10">
        <v>3500.44</v>
      </c>
      <c r="Y391" s="9">
        <v>4660727</v>
      </c>
    </row>
    <row r="392" spans="1:25" ht="16.05" customHeight="1" x14ac:dyDescent="0.3">
      <c r="A392" s="2">
        <v>2859</v>
      </c>
      <c r="B392" s="2">
        <v>41</v>
      </c>
      <c r="C392" s="2">
        <v>2023</v>
      </c>
      <c r="D392" s="3" t="s">
        <v>25</v>
      </c>
      <c r="E392" s="4">
        <v>182</v>
      </c>
      <c r="F392" s="5">
        <v>1086557.68</v>
      </c>
      <c r="G392" s="5">
        <v>126801.28</v>
      </c>
      <c r="H392" s="6">
        <v>11.67</v>
      </c>
      <c r="I392" s="6">
        <v>12.93</v>
      </c>
      <c r="J392" s="5">
        <v>12743.32</v>
      </c>
      <c r="K392" s="5">
        <v>7203.37</v>
      </c>
      <c r="L392" s="5">
        <v>1019812.84</v>
      </c>
      <c r="M392" s="5">
        <v>1074420.82</v>
      </c>
      <c r="N392" s="5">
        <v>66744.84</v>
      </c>
      <c r="O392" s="5">
        <v>1030241.76</v>
      </c>
      <c r="P392" s="5">
        <v>1022241.96</v>
      </c>
      <c r="Q392" s="5">
        <v>7999.8</v>
      </c>
      <c r="R392" s="5">
        <v>140491.91</v>
      </c>
      <c r="S392" s="5">
        <v>-13690.63</v>
      </c>
      <c r="T392" s="5">
        <v>61072.39</v>
      </c>
      <c r="U392" s="5">
        <v>35864.03</v>
      </c>
      <c r="V392" s="5">
        <v>9877.2000000000007</v>
      </c>
      <c r="W392" s="5">
        <v>551.72</v>
      </c>
      <c r="X392" s="5">
        <v>2778.37</v>
      </c>
      <c r="Y392" s="4">
        <v>4922766</v>
      </c>
    </row>
    <row r="393" spans="1:25" ht="16.05" customHeight="1" x14ac:dyDescent="0.3">
      <c r="A393" s="7">
        <v>2929</v>
      </c>
      <c r="B393" s="7">
        <v>42</v>
      </c>
      <c r="C393" s="7">
        <v>2023</v>
      </c>
      <c r="D393" s="8" t="s">
        <v>25</v>
      </c>
      <c r="E393" s="9">
        <v>649</v>
      </c>
      <c r="F393" s="10">
        <v>37710750.020000003</v>
      </c>
      <c r="G393" s="10">
        <v>4295254.43</v>
      </c>
      <c r="H393" s="11">
        <v>11.39</v>
      </c>
      <c r="I393" s="11">
        <v>18.36</v>
      </c>
      <c r="J393" s="10">
        <v>12427.08</v>
      </c>
      <c r="K393" s="10">
        <v>9923.77</v>
      </c>
      <c r="L393" s="10">
        <v>37643122.740000002</v>
      </c>
      <c r="M393" s="10">
        <v>37688115.219999999</v>
      </c>
      <c r="N393" s="10">
        <v>67627.28</v>
      </c>
      <c r="O393" s="10">
        <v>37658910.829999998</v>
      </c>
      <c r="P393" s="10">
        <v>37655740.799999997</v>
      </c>
      <c r="Q393" s="10">
        <v>3170.03</v>
      </c>
      <c r="R393" s="10">
        <v>6923693.7000000002</v>
      </c>
      <c r="S393" s="10">
        <v>-2628439.2799999998</v>
      </c>
      <c r="T393" s="10">
        <v>60083.23</v>
      </c>
      <c r="U393" s="10">
        <v>52766.02</v>
      </c>
      <c r="V393" s="10">
        <v>11741.6</v>
      </c>
      <c r="W393" s="10">
        <v>4046.49</v>
      </c>
      <c r="X393" s="10">
        <v>3542.89</v>
      </c>
      <c r="Y393" s="9">
        <v>3380178</v>
      </c>
    </row>
    <row r="394" spans="1:25" ht="16.05" customHeight="1" x14ac:dyDescent="0.3">
      <c r="A394" s="2">
        <v>2999</v>
      </c>
      <c r="B394" s="2">
        <v>43</v>
      </c>
      <c r="C394" s="2">
        <v>2023</v>
      </c>
      <c r="D394" s="3" t="s">
        <v>25</v>
      </c>
      <c r="E394" s="4">
        <v>5124</v>
      </c>
      <c r="F394" s="5">
        <v>357637271.69999999</v>
      </c>
      <c r="G394" s="5">
        <v>96275953.549999997</v>
      </c>
      <c r="H394" s="6">
        <v>26.92</v>
      </c>
      <c r="I394" s="6">
        <v>11.86</v>
      </c>
      <c r="J394" s="5">
        <v>5870.55</v>
      </c>
      <c r="K394" s="5">
        <v>14237.57</v>
      </c>
      <c r="L394" s="5">
        <v>357595804.80000001</v>
      </c>
      <c r="M394" s="5">
        <v>357620835.60000002</v>
      </c>
      <c r="N394" s="5">
        <v>41466.949999999997</v>
      </c>
      <c r="O394" s="5">
        <v>357603713.19999999</v>
      </c>
      <c r="P394" s="5">
        <v>357597437.19999999</v>
      </c>
      <c r="Q394" s="5">
        <v>6275.93</v>
      </c>
      <c r="R394" s="5">
        <v>42415780.43</v>
      </c>
      <c r="S394" s="5">
        <v>53860173.119999997</v>
      </c>
      <c r="T394" s="5">
        <v>19717.66</v>
      </c>
      <c r="U394" s="5">
        <v>36741.26</v>
      </c>
      <c r="V394" s="5">
        <v>4363.72</v>
      </c>
      <c r="W394" s="5">
        <v>3544.65</v>
      </c>
      <c r="X394" s="5">
        <v>2069.71</v>
      </c>
      <c r="Y394" s="4">
        <v>2045457</v>
      </c>
    </row>
    <row r="395" spans="1:25" ht="16.05" customHeight="1" x14ac:dyDescent="0.3">
      <c r="A395" s="7">
        <v>3069</v>
      </c>
      <c r="B395" s="7">
        <v>44</v>
      </c>
      <c r="C395" s="7">
        <v>2023</v>
      </c>
      <c r="D395" s="8" t="s">
        <v>25</v>
      </c>
      <c r="E395" s="9">
        <v>5033</v>
      </c>
      <c r="F395" s="10">
        <v>105819480.40000001</v>
      </c>
      <c r="G395" s="10">
        <v>18825285.57</v>
      </c>
      <c r="H395" s="11">
        <v>17.79</v>
      </c>
      <c r="I395" s="11">
        <v>18.010000000000002</v>
      </c>
      <c r="J395" s="10">
        <v>12085.15</v>
      </c>
      <c r="K395" s="10">
        <v>10120.129999999999</v>
      </c>
      <c r="L395" s="10">
        <v>105801458.09999999</v>
      </c>
      <c r="M395" s="10">
        <v>105804391.3</v>
      </c>
      <c r="N395" s="10">
        <v>18022.37</v>
      </c>
      <c r="O395" s="10">
        <v>105817276.09999999</v>
      </c>
      <c r="P395" s="10">
        <v>105809117</v>
      </c>
      <c r="Q395" s="10">
        <v>8159.12</v>
      </c>
      <c r="R395" s="10">
        <v>19058088.420000002</v>
      </c>
      <c r="S395" s="10">
        <v>-232802.86</v>
      </c>
      <c r="T395" s="10">
        <v>60554.77</v>
      </c>
      <c r="U395" s="10">
        <v>31228.06</v>
      </c>
      <c r="V395" s="10">
        <v>9020.33</v>
      </c>
      <c r="W395" s="10">
        <v>6797.76</v>
      </c>
      <c r="X395" s="10">
        <v>4754.41</v>
      </c>
      <c r="Y395" s="9">
        <v>3117929</v>
      </c>
    </row>
    <row r="396" spans="1:25" ht="16.05" customHeight="1" x14ac:dyDescent="0.3">
      <c r="A396" s="2">
        <v>3139</v>
      </c>
      <c r="B396" s="2">
        <v>45</v>
      </c>
      <c r="C396" s="2">
        <v>2023</v>
      </c>
      <c r="D396" s="3" t="s">
        <v>25</v>
      </c>
      <c r="E396" s="4">
        <v>2599</v>
      </c>
      <c r="F396" s="5">
        <v>150760249.59999999</v>
      </c>
      <c r="G396" s="5">
        <v>18226914.170000002</v>
      </c>
      <c r="H396" s="6">
        <v>12.09</v>
      </c>
      <c r="I396" s="6">
        <v>6.11</v>
      </c>
      <c r="J396" s="5">
        <v>10882.05</v>
      </c>
      <c r="K396" s="5">
        <v>6403.57</v>
      </c>
      <c r="L396" s="5">
        <v>150667058</v>
      </c>
      <c r="M396" s="5">
        <v>150746530.19999999</v>
      </c>
      <c r="N396" s="5">
        <v>93191.59</v>
      </c>
      <c r="O396" s="5">
        <v>150675876.69999999</v>
      </c>
      <c r="P396" s="5">
        <v>150673607.09999999</v>
      </c>
      <c r="Q396" s="5">
        <v>2269.61</v>
      </c>
      <c r="R396" s="5">
        <v>9211451.25</v>
      </c>
      <c r="S396" s="5">
        <v>9015462.9199999999</v>
      </c>
      <c r="T396" s="5">
        <v>41787.919999999998</v>
      </c>
      <c r="U396" s="5">
        <v>38470.199999999997</v>
      </c>
      <c r="V396" s="5">
        <v>4015.86</v>
      </c>
      <c r="W396" s="5">
        <v>4802.84</v>
      </c>
      <c r="X396" s="5">
        <v>1990.67</v>
      </c>
      <c r="Y396" s="4">
        <v>1798326</v>
      </c>
    </row>
    <row r="397" spans="1:25" ht="16.05" customHeight="1" x14ac:dyDescent="0.3">
      <c r="A397" s="7">
        <v>3209</v>
      </c>
      <c r="B397" s="7">
        <v>46</v>
      </c>
      <c r="C397" s="7">
        <v>2023</v>
      </c>
      <c r="D397" s="8" t="s">
        <v>25</v>
      </c>
      <c r="E397" s="9">
        <v>1033</v>
      </c>
      <c r="F397" s="10">
        <v>41319132.840000004</v>
      </c>
      <c r="G397" s="10">
        <v>6681303.7800000003</v>
      </c>
      <c r="H397" s="11">
        <v>16.170000000000002</v>
      </c>
      <c r="I397" s="11">
        <v>8.2799999999999994</v>
      </c>
      <c r="J397" s="10">
        <v>1041.3900000000001</v>
      </c>
      <c r="K397" s="10">
        <v>19175.8</v>
      </c>
      <c r="L397" s="10">
        <v>41275776.560000002</v>
      </c>
      <c r="M397" s="10">
        <v>41295278.710000001</v>
      </c>
      <c r="N397" s="10">
        <v>43356.28</v>
      </c>
      <c r="O397" s="10">
        <v>41282991.359999999</v>
      </c>
      <c r="P397" s="10">
        <v>41280152.530000001</v>
      </c>
      <c r="Q397" s="10">
        <v>2838.83</v>
      </c>
      <c r="R397" s="10">
        <v>3421224.2</v>
      </c>
      <c r="S397" s="10">
        <v>3260079.58</v>
      </c>
      <c r="T397" s="10">
        <v>79597.710000000006</v>
      </c>
      <c r="U397" s="10">
        <v>6235.24</v>
      </c>
      <c r="V397" s="10">
        <v>2860.08</v>
      </c>
      <c r="W397" s="10">
        <v>4354.72</v>
      </c>
      <c r="X397" s="10">
        <v>4391.83</v>
      </c>
      <c r="Y397" s="9">
        <v>1398386</v>
      </c>
    </row>
    <row r="398" spans="1:25" ht="16.05" customHeight="1" x14ac:dyDescent="0.3">
      <c r="A398" s="2">
        <v>3279</v>
      </c>
      <c r="B398" s="2">
        <v>47</v>
      </c>
      <c r="C398" s="2">
        <v>2023</v>
      </c>
      <c r="D398" s="3" t="s">
        <v>25</v>
      </c>
      <c r="E398" s="4">
        <v>4606</v>
      </c>
      <c r="F398" s="5">
        <v>33931856.219999999</v>
      </c>
      <c r="G398" s="5">
        <v>7125689.8099999996</v>
      </c>
      <c r="H398" s="6">
        <v>21</v>
      </c>
      <c r="I398" s="6">
        <v>8.4600000000000009</v>
      </c>
      <c r="J398" s="5">
        <v>14493.28</v>
      </c>
      <c r="K398" s="5">
        <v>11954.7</v>
      </c>
      <c r="L398" s="5">
        <v>33878692.359999999</v>
      </c>
      <c r="M398" s="5">
        <v>33914428.530000001</v>
      </c>
      <c r="N398" s="5">
        <v>53163.86</v>
      </c>
      <c r="O398" s="5">
        <v>33890651.759999998</v>
      </c>
      <c r="P398" s="5">
        <v>33884847.859999999</v>
      </c>
      <c r="Q398" s="5">
        <v>5803.9</v>
      </c>
      <c r="R398" s="5">
        <v>2870635.04</v>
      </c>
      <c r="S398" s="5">
        <v>4255054.7699999996</v>
      </c>
      <c r="T398" s="5">
        <v>34935.550000000003</v>
      </c>
      <c r="U398" s="5">
        <v>30974.959999999999</v>
      </c>
      <c r="V398" s="5">
        <v>9184.5499999999993</v>
      </c>
      <c r="W398" s="5">
        <v>2774.85</v>
      </c>
      <c r="X398" s="5">
        <v>4980.78</v>
      </c>
      <c r="Y398" s="4">
        <v>4070086</v>
      </c>
    </row>
    <row r="399" spans="1:25" ht="16.05" customHeight="1" x14ac:dyDescent="0.3">
      <c r="A399" s="7">
        <v>3349</v>
      </c>
      <c r="B399" s="7">
        <v>48</v>
      </c>
      <c r="C399" s="7">
        <v>2023</v>
      </c>
      <c r="D399" s="8" t="s">
        <v>25</v>
      </c>
      <c r="E399" s="9">
        <v>3315</v>
      </c>
      <c r="F399" s="10">
        <v>231412937.59999999</v>
      </c>
      <c r="G399" s="10">
        <v>40450981.5</v>
      </c>
      <c r="H399" s="11">
        <v>17.48</v>
      </c>
      <c r="I399" s="11">
        <v>8.58</v>
      </c>
      <c r="J399" s="10">
        <v>11079.97</v>
      </c>
      <c r="K399" s="10">
        <v>4756.1099999999997</v>
      </c>
      <c r="L399" s="10">
        <v>231402325.09999999</v>
      </c>
      <c r="M399" s="10">
        <v>231391926.5</v>
      </c>
      <c r="N399" s="10">
        <v>10612.53</v>
      </c>
      <c r="O399" s="10">
        <v>231417206.90000001</v>
      </c>
      <c r="P399" s="10">
        <v>231407647.09999999</v>
      </c>
      <c r="Q399" s="10">
        <v>9559.83</v>
      </c>
      <c r="R399" s="10">
        <v>19855230.050000001</v>
      </c>
      <c r="S399" s="10">
        <v>20595751.449999999</v>
      </c>
      <c r="T399" s="10">
        <v>99133.83</v>
      </c>
      <c r="U399" s="10">
        <v>33666.58</v>
      </c>
      <c r="V399" s="10">
        <v>11105.72</v>
      </c>
      <c r="W399" s="10">
        <v>3776.07</v>
      </c>
      <c r="X399" s="10">
        <v>4061.1</v>
      </c>
      <c r="Y399" s="9">
        <v>1832259</v>
      </c>
    </row>
    <row r="400" spans="1:25" ht="16.05" customHeight="1" x14ac:dyDescent="0.3">
      <c r="A400" s="2">
        <v>3419</v>
      </c>
      <c r="B400" s="2">
        <v>49</v>
      </c>
      <c r="C400" s="2">
        <v>2023</v>
      </c>
      <c r="D400" s="3" t="s">
        <v>25</v>
      </c>
      <c r="E400" s="4">
        <v>4642</v>
      </c>
      <c r="F400" s="5">
        <v>149416386.5</v>
      </c>
      <c r="G400" s="5">
        <v>25535260.440000001</v>
      </c>
      <c r="H400" s="6">
        <v>17.09</v>
      </c>
      <c r="I400" s="6">
        <v>15.79</v>
      </c>
      <c r="J400" s="5">
        <v>6191.05</v>
      </c>
      <c r="K400" s="5">
        <v>13842.38</v>
      </c>
      <c r="L400" s="5">
        <v>149350221.30000001</v>
      </c>
      <c r="M400" s="5">
        <v>149408559.19999999</v>
      </c>
      <c r="N400" s="5">
        <v>66165.119999999995</v>
      </c>
      <c r="O400" s="5">
        <v>149362462.19999999</v>
      </c>
      <c r="P400" s="5">
        <v>149357148</v>
      </c>
      <c r="Q400" s="5">
        <v>5314.21</v>
      </c>
      <c r="R400" s="5">
        <v>23592847.420000002</v>
      </c>
      <c r="S400" s="5">
        <v>1942413.02</v>
      </c>
      <c r="T400" s="5">
        <v>91606.33</v>
      </c>
      <c r="U400" s="5">
        <v>53306.73</v>
      </c>
      <c r="V400" s="5">
        <v>8294.7800000000007</v>
      </c>
      <c r="W400" s="5">
        <v>3946.05</v>
      </c>
      <c r="X400" s="5">
        <v>3955.06</v>
      </c>
      <c r="Y400" s="4">
        <v>1993783</v>
      </c>
    </row>
    <row r="401" spans="1:25" ht="16.05" customHeight="1" x14ac:dyDescent="0.3">
      <c r="A401" s="7">
        <v>3489</v>
      </c>
      <c r="B401" s="7">
        <v>50</v>
      </c>
      <c r="C401" s="7">
        <v>2023</v>
      </c>
      <c r="D401" s="8" t="s">
        <v>25</v>
      </c>
      <c r="E401" s="9">
        <v>116</v>
      </c>
      <c r="F401" s="10">
        <v>2932243.34</v>
      </c>
      <c r="G401" s="10">
        <v>747135.6</v>
      </c>
      <c r="H401" s="11">
        <v>25.48</v>
      </c>
      <c r="I401" s="11">
        <v>19.579999999999998</v>
      </c>
      <c r="J401" s="10">
        <v>12195.82</v>
      </c>
      <c r="K401" s="10">
        <v>6630.51</v>
      </c>
      <c r="L401" s="10">
        <v>2921148.02</v>
      </c>
      <c r="M401" s="10">
        <v>2907206.82</v>
      </c>
      <c r="N401" s="10">
        <v>11095.32</v>
      </c>
      <c r="O401" s="10">
        <v>2930569.36</v>
      </c>
      <c r="P401" s="10">
        <v>2927391.36</v>
      </c>
      <c r="Q401" s="10">
        <v>3178</v>
      </c>
      <c r="R401" s="10">
        <v>574133.25</v>
      </c>
      <c r="S401" s="10">
        <v>173002.36</v>
      </c>
      <c r="T401" s="10">
        <v>63731.46</v>
      </c>
      <c r="U401" s="10">
        <v>28344.29</v>
      </c>
      <c r="V401" s="10">
        <v>6400.92</v>
      </c>
      <c r="W401" s="10">
        <v>3020.42</v>
      </c>
      <c r="X401" s="10">
        <v>1670.62</v>
      </c>
      <c r="Y401" s="9">
        <v>1184850</v>
      </c>
    </row>
    <row r="402" spans="1:25" ht="16.05" customHeight="1" x14ac:dyDescent="0.3">
      <c r="A402" s="2">
        <v>49</v>
      </c>
      <c r="B402" s="2">
        <v>1</v>
      </c>
      <c r="C402" s="2">
        <v>2023</v>
      </c>
      <c r="D402" s="3" t="s">
        <v>26</v>
      </c>
      <c r="E402" s="4">
        <v>999</v>
      </c>
      <c r="F402" s="5">
        <v>25092847.309999999</v>
      </c>
      <c r="G402" s="5">
        <v>3633444.29</v>
      </c>
      <c r="H402" s="6">
        <v>14.48</v>
      </c>
      <c r="I402" s="6">
        <v>6.22</v>
      </c>
      <c r="J402" s="5">
        <v>8872.16</v>
      </c>
      <c r="K402" s="5">
        <v>5591.74</v>
      </c>
      <c r="L402" s="5">
        <v>25012970.620000001</v>
      </c>
      <c r="M402" s="5">
        <v>25068647.550000001</v>
      </c>
      <c r="N402" s="5">
        <v>79876.69</v>
      </c>
      <c r="O402" s="5">
        <v>25026148.370000001</v>
      </c>
      <c r="P402" s="5">
        <v>25022323.84</v>
      </c>
      <c r="Q402" s="5">
        <v>3824.53</v>
      </c>
      <c r="R402" s="5">
        <v>1560775.1</v>
      </c>
      <c r="S402" s="5">
        <v>2072669.19</v>
      </c>
      <c r="T402" s="5">
        <v>81543.929999999993</v>
      </c>
      <c r="U402" s="5">
        <v>27666.78</v>
      </c>
      <c r="V402" s="5">
        <v>8737.06</v>
      </c>
      <c r="W402" s="5">
        <v>4440.6899999999996</v>
      </c>
      <c r="X402" s="5">
        <v>2935.97</v>
      </c>
      <c r="Y402" s="4">
        <v>3016343</v>
      </c>
    </row>
    <row r="403" spans="1:25" ht="16.05" customHeight="1" x14ac:dyDescent="0.3">
      <c r="A403" s="7">
        <v>119</v>
      </c>
      <c r="B403" s="7">
        <v>2</v>
      </c>
      <c r="C403" s="7">
        <v>2023</v>
      </c>
      <c r="D403" s="8" t="s">
        <v>26</v>
      </c>
      <c r="E403" s="9">
        <v>2201</v>
      </c>
      <c r="F403" s="10">
        <v>81766392.150000006</v>
      </c>
      <c r="G403" s="10">
        <v>18814446.829999998</v>
      </c>
      <c r="H403" s="11">
        <v>23.01</v>
      </c>
      <c r="I403" s="11">
        <v>11.83</v>
      </c>
      <c r="J403" s="10">
        <v>5335.61</v>
      </c>
      <c r="K403" s="10">
        <v>18089.849999999999</v>
      </c>
      <c r="L403" s="10">
        <v>81725128.450000003</v>
      </c>
      <c r="M403" s="10">
        <v>81745046.849999994</v>
      </c>
      <c r="N403" s="10">
        <v>41263.699999999997</v>
      </c>
      <c r="O403" s="10">
        <v>81731380.659999996</v>
      </c>
      <c r="P403" s="10">
        <v>81720630.709999993</v>
      </c>
      <c r="Q403" s="10">
        <v>10749.95</v>
      </c>
      <c r="R403" s="10">
        <v>9672964.1899999995</v>
      </c>
      <c r="S403" s="10">
        <v>9141482.6400000006</v>
      </c>
      <c r="T403" s="10">
        <v>79745.56</v>
      </c>
      <c r="U403" s="10">
        <v>34278.06</v>
      </c>
      <c r="V403" s="10">
        <v>5521.51</v>
      </c>
      <c r="W403" s="10">
        <v>730.7</v>
      </c>
      <c r="X403" s="10">
        <v>1200.54</v>
      </c>
      <c r="Y403" s="9">
        <v>4466232</v>
      </c>
    </row>
    <row r="404" spans="1:25" ht="16.05" customHeight="1" x14ac:dyDescent="0.3">
      <c r="A404" s="2">
        <v>189</v>
      </c>
      <c r="B404" s="2">
        <v>3</v>
      </c>
      <c r="C404" s="2">
        <v>2023</v>
      </c>
      <c r="D404" s="3" t="s">
        <v>26</v>
      </c>
      <c r="E404" s="4">
        <v>3084</v>
      </c>
      <c r="F404" s="5">
        <v>116258265.40000001</v>
      </c>
      <c r="G404" s="5">
        <v>15764620.789999999</v>
      </c>
      <c r="H404" s="6">
        <v>13.56</v>
      </c>
      <c r="I404" s="6">
        <v>11.47</v>
      </c>
      <c r="J404" s="5">
        <v>14918.22</v>
      </c>
      <c r="K404" s="5">
        <v>7890.21</v>
      </c>
      <c r="L404" s="5">
        <v>116239578.09999999</v>
      </c>
      <c r="M404" s="5">
        <v>116254395.40000001</v>
      </c>
      <c r="N404" s="5">
        <v>18687.240000000002</v>
      </c>
      <c r="O404" s="5">
        <v>116253195.7</v>
      </c>
      <c r="P404" s="5">
        <v>116247905.3</v>
      </c>
      <c r="Q404" s="5">
        <v>5290.43</v>
      </c>
      <c r="R404" s="5">
        <v>13334823.039999999</v>
      </c>
      <c r="S404" s="5">
        <v>2429797.75</v>
      </c>
      <c r="T404" s="5">
        <v>108786.17</v>
      </c>
      <c r="U404" s="5">
        <v>27249.07</v>
      </c>
      <c r="V404" s="5">
        <v>7269.97</v>
      </c>
      <c r="W404" s="5">
        <v>6347.62</v>
      </c>
      <c r="X404" s="5">
        <v>3107.14</v>
      </c>
      <c r="Y404" s="4">
        <v>2778010</v>
      </c>
    </row>
    <row r="405" spans="1:25" ht="16.05" customHeight="1" x14ac:dyDescent="0.3">
      <c r="A405" s="7">
        <v>259</v>
      </c>
      <c r="B405" s="7">
        <v>4</v>
      </c>
      <c r="C405" s="7">
        <v>2023</v>
      </c>
      <c r="D405" s="8" t="s">
        <v>26</v>
      </c>
      <c r="E405" s="9">
        <v>3095</v>
      </c>
      <c r="F405" s="10">
        <v>192066246.80000001</v>
      </c>
      <c r="G405" s="10">
        <v>30250433.879999999</v>
      </c>
      <c r="H405" s="11">
        <v>15.75</v>
      </c>
      <c r="I405" s="11">
        <v>17.88</v>
      </c>
      <c r="J405" s="10">
        <v>7041.43</v>
      </c>
      <c r="K405" s="10">
        <v>17027.009999999998</v>
      </c>
      <c r="L405" s="10">
        <v>192029333.90000001</v>
      </c>
      <c r="M405" s="10">
        <v>192045182.40000001</v>
      </c>
      <c r="N405" s="10">
        <v>36912.93</v>
      </c>
      <c r="O405" s="10">
        <v>192043372.90000001</v>
      </c>
      <c r="P405" s="10">
        <v>192037461.5</v>
      </c>
      <c r="Q405" s="10">
        <v>5911.43</v>
      </c>
      <c r="R405" s="10">
        <v>34341444.939999998</v>
      </c>
      <c r="S405" s="10">
        <v>-4091011.06</v>
      </c>
      <c r="T405" s="10">
        <v>24989.3</v>
      </c>
      <c r="U405" s="10">
        <v>51207.44</v>
      </c>
      <c r="V405" s="10">
        <v>8476.7900000000009</v>
      </c>
      <c r="W405" s="10">
        <v>5562.22</v>
      </c>
      <c r="X405" s="10">
        <v>3331.1</v>
      </c>
      <c r="Y405" s="9">
        <v>2234475</v>
      </c>
    </row>
    <row r="406" spans="1:25" ht="16.05" customHeight="1" x14ac:dyDescent="0.3">
      <c r="A406" s="2">
        <v>329</v>
      </c>
      <c r="B406" s="2">
        <v>5</v>
      </c>
      <c r="C406" s="2">
        <v>2023</v>
      </c>
      <c r="D406" s="3" t="s">
        <v>26</v>
      </c>
      <c r="E406" s="4">
        <v>3191</v>
      </c>
      <c r="F406" s="5">
        <v>57316338.969999999</v>
      </c>
      <c r="G406" s="5">
        <v>9348294.8900000006</v>
      </c>
      <c r="H406" s="6">
        <v>16.309999999999999</v>
      </c>
      <c r="I406" s="6">
        <v>8.84</v>
      </c>
      <c r="J406" s="5">
        <v>7703.9</v>
      </c>
      <c r="K406" s="5">
        <v>10541.85</v>
      </c>
      <c r="L406" s="5">
        <v>57269794.030000001</v>
      </c>
      <c r="M406" s="5">
        <v>57307271.789999999</v>
      </c>
      <c r="N406" s="5">
        <v>46544.94</v>
      </c>
      <c r="O406" s="5">
        <v>57287696.460000001</v>
      </c>
      <c r="P406" s="5">
        <v>57282855.109999999</v>
      </c>
      <c r="Q406" s="5">
        <v>4841.3500000000004</v>
      </c>
      <c r="R406" s="5">
        <v>5066764.3600000003</v>
      </c>
      <c r="S406" s="5">
        <v>4281530.5199999996</v>
      </c>
      <c r="T406" s="5">
        <v>91052.23</v>
      </c>
      <c r="U406" s="5">
        <v>45825.15</v>
      </c>
      <c r="V406" s="5">
        <v>10279.620000000001</v>
      </c>
      <c r="W406" s="5">
        <v>7622.81</v>
      </c>
      <c r="X406" s="5">
        <v>1394.27</v>
      </c>
      <c r="Y406" s="4">
        <v>2149303</v>
      </c>
    </row>
    <row r="407" spans="1:25" ht="16.05" customHeight="1" x14ac:dyDescent="0.3">
      <c r="A407" s="7">
        <v>399</v>
      </c>
      <c r="B407" s="7">
        <v>6</v>
      </c>
      <c r="C407" s="7">
        <v>2023</v>
      </c>
      <c r="D407" s="8" t="s">
        <v>26</v>
      </c>
      <c r="E407" s="9">
        <v>6262</v>
      </c>
      <c r="F407" s="10">
        <v>291301020.5</v>
      </c>
      <c r="G407" s="10">
        <v>42908640.32</v>
      </c>
      <c r="H407" s="11">
        <v>14.73</v>
      </c>
      <c r="I407" s="11">
        <v>13.75</v>
      </c>
      <c r="J407" s="10">
        <v>5570.5</v>
      </c>
      <c r="K407" s="10">
        <v>2382.62</v>
      </c>
      <c r="L407" s="10">
        <v>291239073.60000002</v>
      </c>
      <c r="M407" s="10">
        <v>291277607</v>
      </c>
      <c r="N407" s="10">
        <v>61946.91</v>
      </c>
      <c r="O407" s="10">
        <v>291249496.19999999</v>
      </c>
      <c r="P407" s="10">
        <v>291236342.19999999</v>
      </c>
      <c r="Q407" s="10">
        <v>13153.99</v>
      </c>
      <c r="R407" s="10">
        <v>40053890.32</v>
      </c>
      <c r="S407" s="10">
        <v>2854750</v>
      </c>
      <c r="T407" s="10">
        <v>110254.97</v>
      </c>
      <c r="U407" s="10">
        <v>39040.94</v>
      </c>
      <c r="V407" s="10">
        <v>4991.28</v>
      </c>
      <c r="W407" s="10">
        <v>5431.34</v>
      </c>
      <c r="X407" s="10">
        <v>1198.32</v>
      </c>
      <c r="Y407" s="9">
        <v>4177044</v>
      </c>
    </row>
    <row r="408" spans="1:25" ht="16.05" customHeight="1" x14ac:dyDescent="0.3">
      <c r="A408" s="2">
        <v>469</v>
      </c>
      <c r="B408" s="2">
        <v>7</v>
      </c>
      <c r="C408" s="2">
        <v>2023</v>
      </c>
      <c r="D408" s="3" t="s">
        <v>26</v>
      </c>
      <c r="E408" s="4">
        <v>3298</v>
      </c>
      <c r="F408" s="5">
        <v>23063206.739999998</v>
      </c>
      <c r="G408" s="5">
        <v>3215011.02</v>
      </c>
      <c r="H408" s="6">
        <v>13.94</v>
      </c>
      <c r="I408" s="6">
        <v>15.76</v>
      </c>
      <c r="J408" s="5">
        <v>7465.58</v>
      </c>
      <c r="K408" s="5">
        <v>4835.6499999999996</v>
      </c>
      <c r="L408" s="5">
        <v>23020891</v>
      </c>
      <c r="M408" s="5">
        <v>23043370.879999999</v>
      </c>
      <c r="N408" s="5">
        <v>42315.74</v>
      </c>
      <c r="O408" s="5">
        <v>23040227.77</v>
      </c>
      <c r="P408" s="5">
        <v>23033734.989999998</v>
      </c>
      <c r="Q408" s="5">
        <v>6492.78</v>
      </c>
      <c r="R408" s="5">
        <v>3634761.38</v>
      </c>
      <c r="S408" s="5">
        <v>-419750.36</v>
      </c>
      <c r="T408" s="5">
        <v>55738.78</v>
      </c>
      <c r="U408" s="5">
        <v>43613.24</v>
      </c>
      <c r="V408" s="5">
        <v>11829.51</v>
      </c>
      <c r="W408" s="5">
        <v>7507.26</v>
      </c>
      <c r="X408" s="5">
        <v>3517.29</v>
      </c>
      <c r="Y408" s="4">
        <v>1037822</v>
      </c>
    </row>
    <row r="409" spans="1:25" ht="16.05" customHeight="1" x14ac:dyDescent="0.3">
      <c r="A409" s="7">
        <v>539</v>
      </c>
      <c r="B409" s="7">
        <v>8</v>
      </c>
      <c r="C409" s="7">
        <v>2023</v>
      </c>
      <c r="D409" s="8" t="s">
        <v>26</v>
      </c>
      <c r="E409" s="9">
        <v>346</v>
      </c>
      <c r="F409" s="10">
        <v>21055385.120000001</v>
      </c>
      <c r="G409" s="10">
        <v>5350173.3600000003</v>
      </c>
      <c r="H409" s="11">
        <v>25.41</v>
      </c>
      <c r="I409" s="11">
        <v>14.89</v>
      </c>
      <c r="J409" s="10">
        <v>2285.4499999999998</v>
      </c>
      <c r="K409" s="10">
        <v>17375.27</v>
      </c>
      <c r="L409" s="10">
        <v>20998611.02</v>
      </c>
      <c r="M409" s="10">
        <v>21030613.309999999</v>
      </c>
      <c r="N409" s="10">
        <v>56774.1</v>
      </c>
      <c r="O409" s="10">
        <v>21004895.359999999</v>
      </c>
      <c r="P409" s="10">
        <v>20995056.960000001</v>
      </c>
      <c r="Q409" s="10">
        <v>9838.4</v>
      </c>
      <c r="R409" s="10">
        <v>3135146.84</v>
      </c>
      <c r="S409" s="10">
        <v>2215026.5099999998</v>
      </c>
      <c r="T409" s="10">
        <v>92423.48</v>
      </c>
      <c r="U409" s="10">
        <v>51598.12</v>
      </c>
      <c r="V409" s="10">
        <v>3700.75</v>
      </c>
      <c r="W409" s="10">
        <v>2583.59</v>
      </c>
      <c r="X409" s="10">
        <v>4833.09</v>
      </c>
      <c r="Y409" s="9">
        <v>1493771</v>
      </c>
    </row>
    <row r="410" spans="1:25" ht="16.05" customHeight="1" x14ac:dyDescent="0.3">
      <c r="A410" s="2">
        <v>609</v>
      </c>
      <c r="B410" s="2">
        <v>9</v>
      </c>
      <c r="C410" s="2">
        <v>2023</v>
      </c>
      <c r="D410" s="3" t="s">
        <v>26</v>
      </c>
      <c r="E410" s="4">
        <v>6002</v>
      </c>
      <c r="F410" s="5">
        <v>365032021.80000001</v>
      </c>
      <c r="G410" s="5">
        <v>64428151.840000004</v>
      </c>
      <c r="H410" s="6">
        <v>17.649999999999999</v>
      </c>
      <c r="I410" s="6">
        <v>18.02</v>
      </c>
      <c r="J410" s="5">
        <v>12542.97</v>
      </c>
      <c r="K410" s="5">
        <v>12669.57</v>
      </c>
      <c r="L410" s="5">
        <v>364982235.5</v>
      </c>
      <c r="M410" s="5">
        <v>365026226.39999998</v>
      </c>
      <c r="N410" s="5">
        <v>49786.31</v>
      </c>
      <c r="O410" s="5">
        <v>364991545.30000001</v>
      </c>
      <c r="P410" s="5">
        <v>364983389</v>
      </c>
      <c r="Q410" s="5">
        <v>8156.31</v>
      </c>
      <c r="R410" s="5">
        <v>65778770.32</v>
      </c>
      <c r="S410" s="5">
        <v>-1350618.48</v>
      </c>
      <c r="T410" s="5">
        <v>37160.33</v>
      </c>
      <c r="U410" s="5">
        <v>20950.400000000001</v>
      </c>
      <c r="V410" s="5">
        <v>5862.48</v>
      </c>
      <c r="W410" s="5">
        <v>3447.37</v>
      </c>
      <c r="X410" s="5">
        <v>4452.4799999999996</v>
      </c>
      <c r="Y410" s="4">
        <v>4223972</v>
      </c>
    </row>
    <row r="411" spans="1:25" ht="16.05" customHeight="1" x14ac:dyDescent="0.3">
      <c r="A411" s="7">
        <v>679</v>
      </c>
      <c r="B411" s="7">
        <v>10</v>
      </c>
      <c r="C411" s="7">
        <v>2023</v>
      </c>
      <c r="D411" s="8" t="s">
        <v>26</v>
      </c>
      <c r="E411" s="9">
        <v>3933</v>
      </c>
      <c r="F411" s="10">
        <v>232732852.19999999</v>
      </c>
      <c r="G411" s="10">
        <v>38238007.609999999</v>
      </c>
      <c r="H411" s="11">
        <v>16.43</v>
      </c>
      <c r="I411" s="11">
        <v>11.49</v>
      </c>
      <c r="J411" s="10">
        <v>10982.54</v>
      </c>
      <c r="K411" s="10">
        <v>2802.63</v>
      </c>
      <c r="L411" s="10">
        <v>232664193.19999999</v>
      </c>
      <c r="M411" s="10">
        <v>232716224.40000001</v>
      </c>
      <c r="N411" s="10">
        <v>68658.98</v>
      </c>
      <c r="O411" s="10">
        <v>232674961.09999999</v>
      </c>
      <c r="P411" s="10">
        <v>232663580.40000001</v>
      </c>
      <c r="Q411" s="10">
        <v>11380.78</v>
      </c>
      <c r="R411" s="10">
        <v>26741004.710000001</v>
      </c>
      <c r="S411" s="10">
        <v>11497002.9</v>
      </c>
      <c r="T411" s="10">
        <v>42036.77</v>
      </c>
      <c r="U411" s="10">
        <v>5580.99</v>
      </c>
      <c r="V411" s="10">
        <v>9512.24</v>
      </c>
      <c r="W411" s="10">
        <v>1255.73</v>
      </c>
      <c r="X411" s="10">
        <v>1092.33</v>
      </c>
      <c r="Y411" s="9">
        <v>4713414</v>
      </c>
    </row>
    <row r="412" spans="1:25" ht="16.05" customHeight="1" x14ac:dyDescent="0.3">
      <c r="A412" s="2">
        <v>749</v>
      </c>
      <c r="B412" s="2">
        <v>11</v>
      </c>
      <c r="C412" s="2">
        <v>2023</v>
      </c>
      <c r="D412" s="3" t="s">
        <v>26</v>
      </c>
      <c r="E412" s="4">
        <v>1125</v>
      </c>
      <c r="F412" s="5">
        <v>30622122.09</v>
      </c>
      <c r="G412" s="5">
        <v>2645751.35</v>
      </c>
      <c r="H412" s="6">
        <v>8.64</v>
      </c>
      <c r="I412" s="6">
        <v>15.61</v>
      </c>
      <c r="J412" s="5">
        <v>12913.55</v>
      </c>
      <c r="K412" s="5">
        <v>9330.7000000000007</v>
      </c>
      <c r="L412" s="5">
        <v>30609503.079999998</v>
      </c>
      <c r="M412" s="5">
        <v>30604550.969999999</v>
      </c>
      <c r="N412" s="5">
        <v>12619.01</v>
      </c>
      <c r="O412" s="5">
        <v>30620709.620000001</v>
      </c>
      <c r="P412" s="5">
        <v>30611807.399999999</v>
      </c>
      <c r="Q412" s="5">
        <v>8902.2199999999993</v>
      </c>
      <c r="R412" s="5">
        <v>4780113.26</v>
      </c>
      <c r="S412" s="5">
        <v>-2134361.91</v>
      </c>
      <c r="T412" s="5">
        <v>87152.78</v>
      </c>
      <c r="U412" s="5">
        <v>50270.87</v>
      </c>
      <c r="V412" s="5">
        <v>3465.07</v>
      </c>
      <c r="W412" s="5">
        <v>7741.47</v>
      </c>
      <c r="X412" s="5">
        <v>4422.6099999999997</v>
      </c>
      <c r="Y412" s="4">
        <v>1463679</v>
      </c>
    </row>
    <row r="413" spans="1:25" ht="16.05" customHeight="1" x14ac:dyDescent="0.3">
      <c r="A413" s="7">
        <v>819</v>
      </c>
      <c r="B413" s="7">
        <v>12</v>
      </c>
      <c r="C413" s="7">
        <v>2023</v>
      </c>
      <c r="D413" s="8" t="s">
        <v>26</v>
      </c>
      <c r="E413" s="9">
        <v>4532</v>
      </c>
      <c r="F413" s="10">
        <v>301967276</v>
      </c>
      <c r="G413" s="10">
        <v>24127185.350000001</v>
      </c>
      <c r="H413" s="11">
        <v>7.99</v>
      </c>
      <c r="I413" s="11">
        <v>11.25</v>
      </c>
      <c r="J413" s="10">
        <v>10102.19</v>
      </c>
      <c r="K413" s="10">
        <v>15136.01</v>
      </c>
      <c r="L413" s="10">
        <v>301946389.60000002</v>
      </c>
      <c r="M413" s="10">
        <v>301959068</v>
      </c>
      <c r="N413" s="10">
        <v>20886.38</v>
      </c>
      <c r="O413" s="10">
        <v>301963350.89999998</v>
      </c>
      <c r="P413" s="10">
        <v>301959477.19999999</v>
      </c>
      <c r="Q413" s="10">
        <v>3873.72</v>
      </c>
      <c r="R413" s="10">
        <v>33971318.549999997</v>
      </c>
      <c r="S413" s="10">
        <v>-9844133.1999999993</v>
      </c>
      <c r="T413" s="10">
        <v>34941.89</v>
      </c>
      <c r="U413" s="10">
        <v>5925.92</v>
      </c>
      <c r="V413" s="10">
        <v>10595.9</v>
      </c>
      <c r="W413" s="10">
        <v>6365.41</v>
      </c>
      <c r="X413" s="10">
        <v>4519.43</v>
      </c>
      <c r="Y413" s="9">
        <v>4921256</v>
      </c>
    </row>
    <row r="414" spans="1:25" ht="16.05" customHeight="1" x14ac:dyDescent="0.3">
      <c r="A414" s="2">
        <v>889</v>
      </c>
      <c r="B414" s="2">
        <v>13</v>
      </c>
      <c r="C414" s="2">
        <v>2023</v>
      </c>
      <c r="D414" s="3" t="s">
        <v>26</v>
      </c>
      <c r="E414" s="4">
        <v>1689</v>
      </c>
      <c r="F414" s="5">
        <v>52877676.299999997</v>
      </c>
      <c r="G414" s="5">
        <v>14668267.41</v>
      </c>
      <c r="H414" s="6">
        <v>27.74</v>
      </c>
      <c r="I414" s="6">
        <v>7.72</v>
      </c>
      <c r="J414" s="5">
        <v>14082.16</v>
      </c>
      <c r="K414" s="5">
        <v>16159.07</v>
      </c>
      <c r="L414" s="5">
        <v>52813191.969999999</v>
      </c>
      <c r="M414" s="5">
        <v>52871505.100000001</v>
      </c>
      <c r="N414" s="5">
        <v>64484.33</v>
      </c>
      <c r="O414" s="5">
        <v>52821636.439999998</v>
      </c>
      <c r="P414" s="5">
        <v>52809538.990000002</v>
      </c>
      <c r="Q414" s="5">
        <v>12097.45</v>
      </c>
      <c r="R414" s="5">
        <v>4082156.61</v>
      </c>
      <c r="S414" s="5">
        <v>10586110.800000001</v>
      </c>
      <c r="T414" s="5">
        <v>78912.56</v>
      </c>
      <c r="U414" s="5">
        <v>28972.400000000001</v>
      </c>
      <c r="V414" s="5">
        <v>2884.4</v>
      </c>
      <c r="W414" s="5">
        <v>5560.07</v>
      </c>
      <c r="X414" s="5">
        <v>4766.25</v>
      </c>
      <c r="Y414" s="4">
        <v>2687904</v>
      </c>
    </row>
    <row r="415" spans="1:25" ht="16.05" customHeight="1" x14ac:dyDescent="0.3">
      <c r="A415" s="7">
        <v>959</v>
      </c>
      <c r="B415" s="7">
        <v>14</v>
      </c>
      <c r="C415" s="7">
        <v>2023</v>
      </c>
      <c r="D415" s="8" t="s">
        <v>26</v>
      </c>
      <c r="E415" s="9">
        <v>636</v>
      </c>
      <c r="F415" s="10">
        <v>12862441.1</v>
      </c>
      <c r="G415" s="10">
        <v>2384696.58</v>
      </c>
      <c r="H415" s="11">
        <v>18.54</v>
      </c>
      <c r="I415" s="11">
        <v>16.47</v>
      </c>
      <c r="J415" s="10">
        <v>5800.89</v>
      </c>
      <c r="K415" s="10">
        <v>18531.419999999998</v>
      </c>
      <c r="L415" s="10">
        <v>12774785.33</v>
      </c>
      <c r="M415" s="10">
        <v>12846281.9</v>
      </c>
      <c r="N415" s="10">
        <v>87655.77</v>
      </c>
      <c r="O415" s="10">
        <v>12785452.67</v>
      </c>
      <c r="P415" s="10">
        <v>12783597.85</v>
      </c>
      <c r="Q415" s="10">
        <v>1854.82</v>
      </c>
      <c r="R415" s="10">
        <v>2118444.0499999998</v>
      </c>
      <c r="S415" s="10">
        <v>266252.53000000003</v>
      </c>
      <c r="T415" s="10">
        <v>14723.49</v>
      </c>
      <c r="U415" s="10">
        <v>38363.879999999997</v>
      </c>
      <c r="V415" s="10">
        <v>5063.9799999999996</v>
      </c>
      <c r="W415" s="10">
        <v>5603.36</v>
      </c>
      <c r="X415" s="10">
        <v>3086.86</v>
      </c>
      <c r="Y415" s="9">
        <v>3302507</v>
      </c>
    </row>
    <row r="416" spans="1:25" ht="16.05" customHeight="1" x14ac:dyDescent="0.3">
      <c r="A416" s="2">
        <v>1029</v>
      </c>
      <c r="B416" s="2">
        <v>15</v>
      </c>
      <c r="C416" s="2">
        <v>2023</v>
      </c>
      <c r="D416" s="3" t="s">
        <v>26</v>
      </c>
      <c r="E416" s="4">
        <v>894</v>
      </c>
      <c r="F416" s="5">
        <v>33613564.079999998</v>
      </c>
      <c r="G416" s="5">
        <v>7031957.5999999996</v>
      </c>
      <c r="H416" s="6">
        <v>20.92</v>
      </c>
      <c r="I416" s="6">
        <v>12.17</v>
      </c>
      <c r="J416" s="5">
        <v>9839.99</v>
      </c>
      <c r="K416" s="5">
        <v>14789.16</v>
      </c>
      <c r="L416" s="5">
        <v>33559538.960000001</v>
      </c>
      <c r="M416" s="5">
        <v>33601557.380000003</v>
      </c>
      <c r="N416" s="5">
        <v>54025.120000000003</v>
      </c>
      <c r="O416" s="5">
        <v>33564703.280000001</v>
      </c>
      <c r="P416" s="5">
        <v>33561542.960000001</v>
      </c>
      <c r="Q416" s="5">
        <v>3160.32</v>
      </c>
      <c r="R416" s="5">
        <v>4090770.75</v>
      </c>
      <c r="S416" s="5">
        <v>2941186.86</v>
      </c>
      <c r="T416" s="5">
        <v>85120.01</v>
      </c>
      <c r="U416" s="5">
        <v>52907.72</v>
      </c>
      <c r="V416" s="5">
        <v>3313.3</v>
      </c>
      <c r="W416" s="5">
        <v>1851.02</v>
      </c>
      <c r="X416" s="5">
        <v>3672.67</v>
      </c>
      <c r="Y416" s="4">
        <v>1840314</v>
      </c>
    </row>
    <row r="417" spans="1:25" ht="16.05" customHeight="1" x14ac:dyDescent="0.3">
      <c r="A417" s="7">
        <v>1099</v>
      </c>
      <c r="B417" s="7">
        <v>16</v>
      </c>
      <c r="C417" s="7">
        <v>2023</v>
      </c>
      <c r="D417" s="8" t="s">
        <v>26</v>
      </c>
      <c r="E417" s="9">
        <v>4885</v>
      </c>
      <c r="F417" s="10">
        <v>318413529.39999998</v>
      </c>
      <c r="G417" s="10">
        <v>83901964.989999995</v>
      </c>
      <c r="H417" s="11">
        <v>26.35</v>
      </c>
      <c r="I417" s="11">
        <v>19.149999999999999</v>
      </c>
      <c r="J417" s="10">
        <v>1310.28</v>
      </c>
      <c r="K417" s="10">
        <v>8256.85</v>
      </c>
      <c r="L417" s="10">
        <v>318323003.10000002</v>
      </c>
      <c r="M417" s="10">
        <v>318393781</v>
      </c>
      <c r="N417" s="10">
        <v>90526.28</v>
      </c>
      <c r="O417" s="10">
        <v>318335544</v>
      </c>
      <c r="P417" s="10">
        <v>318331938.69999999</v>
      </c>
      <c r="Q417" s="10">
        <v>3605.33</v>
      </c>
      <c r="R417" s="10">
        <v>60976190.869999997</v>
      </c>
      <c r="S417" s="10">
        <v>22925774.109999999</v>
      </c>
      <c r="T417" s="10">
        <v>38771.93</v>
      </c>
      <c r="U417" s="10">
        <v>29922.95</v>
      </c>
      <c r="V417" s="10">
        <v>9344.9</v>
      </c>
      <c r="W417" s="10">
        <v>3196.05</v>
      </c>
      <c r="X417" s="10">
        <v>4249.66</v>
      </c>
      <c r="Y417" s="9">
        <v>1302170</v>
      </c>
    </row>
    <row r="418" spans="1:25" ht="16.05" customHeight="1" x14ac:dyDescent="0.3">
      <c r="A418" s="2">
        <v>1169</v>
      </c>
      <c r="B418" s="2">
        <v>17</v>
      </c>
      <c r="C418" s="2">
        <v>2023</v>
      </c>
      <c r="D418" s="3" t="s">
        <v>26</v>
      </c>
      <c r="E418" s="4">
        <v>2488</v>
      </c>
      <c r="F418" s="5">
        <v>107241962</v>
      </c>
      <c r="G418" s="5">
        <v>15292703.789999999</v>
      </c>
      <c r="H418" s="6">
        <v>14.26</v>
      </c>
      <c r="I418" s="6">
        <v>16.440000000000001</v>
      </c>
      <c r="J418" s="5">
        <v>10741.72</v>
      </c>
      <c r="K418" s="5">
        <v>14338.34</v>
      </c>
      <c r="L418" s="5">
        <v>107156660.90000001</v>
      </c>
      <c r="M418" s="5">
        <v>107218903.90000001</v>
      </c>
      <c r="N418" s="5">
        <v>85301.19</v>
      </c>
      <c r="O418" s="5">
        <v>107171075.09999999</v>
      </c>
      <c r="P418" s="5">
        <v>107156858.59999999</v>
      </c>
      <c r="Q418" s="5">
        <v>14216.44</v>
      </c>
      <c r="R418" s="5">
        <v>17630578.559999999</v>
      </c>
      <c r="S418" s="5">
        <v>-2337874.77</v>
      </c>
      <c r="T418" s="5">
        <v>21840.05</v>
      </c>
      <c r="U418" s="5">
        <v>43010.15</v>
      </c>
      <c r="V418" s="5">
        <v>10156.56</v>
      </c>
      <c r="W418" s="5">
        <v>4257.6400000000003</v>
      </c>
      <c r="X418" s="5">
        <v>2610.5100000000002</v>
      </c>
      <c r="Y418" s="4">
        <v>2648474</v>
      </c>
    </row>
    <row r="419" spans="1:25" ht="16.05" customHeight="1" x14ac:dyDescent="0.3">
      <c r="A419" s="7">
        <v>1239</v>
      </c>
      <c r="B419" s="7">
        <v>18</v>
      </c>
      <c r="C419" s="7">
        <v>2023</v>
      </c>
      <c r="D419" s="8" t="s">
        <v>26</v>
      </c>
      <c r="E419" s="9">
        <v>2411</v>
      </c>
      <c r="F419" s="10">
        <v>155894463.90000001</v>
      </c>
      <c r="G419" s="10">
        <v>14950279.09</v>
      </c>
      <c r="H419" s="11">
        <v>9.59</v>
      </c>
      <c r="I419" s="11">
        <v>14.04</v>
      </c>
      <c r="J419" s="10">
        <v>12034.92</v>
      </c>
      <c r="K419" s="10">
        <v>8622.7199999999993</v>
      </c>
      <c r="L419" s="10">
        <v>155796347.19999999</v>
      </c>
      <c r="M419" s="10">
        <v>155873917.19999999</v>
      </c>
      <c r="N419" s="10">
        <v>98116.74</v>
      </c>
      <c r="O419" s="10">
        <v>155808554.69999999</v>
      </c>
      <c r="P419" s="10">
        <v>155798031</v>
      </c>
      <c r="Q419" s="10">
        <v>10523.74</v>
      </c>
      <c r="R419" s="10">
        <v>21887582.739999998</v>
      </c>
      <c r="S419" s="10">
        <v>-6937303.6399999997</v>
      </c>
      <c r="T419" s="10">
        <v>28938.37</v>
      </c>
      <c r="U419" s="10">
        <v>27170.98</v>
      </c>
      <c r="V419" s="10">
        <v>7914.42</v>
      </c>
      <c r="W419" s="10">
        <v>4293.1099999999997</v>
      </c>
      <c r="X419" s="10">
        <v>2026.71</v>
      </c>
      <c r="Y419" s="9">
        <v>3176737</v>
      </c>
    </row>
    <row r="420" spans="1:25" ht="16.05" customHeight="1" x14ac:dyDescent="0.3">
      <c r="A420" s="2">
        <v>1309</v>
      </c>
      <c r="B420" s="2">
        <v>19</v>
      </c>
      <c r="C420" s="2">
        <v>2023</v>
      </c>
      <c r="D420" s="3" t="s">
        <v>26</v>
      </c>
      <c r="E420" s="4">
        <v>729</v>
      </c>
      <c r="F420" s="5">
        <v>8953616.0500000007</v>
      </c>
      <c r="G420" s="5">
        <v>1796095.38</v>
      </c>
      <c r="H420" s="6">
        <v>20.059999999999999</v>
      </c>
      <c r="I420" s="6">
        <v>9.76</v>
      </c>
      <c r="J420" s="5">
        <v>8732.1</v>
      </c>
      <c r="K420" s="5">
        <v>16430</v>
      </c>
      <c r="L420" s="5">
        <v>8882044.0099999998</v>
      </c>
      <c r="M420" s="5">
        <v>8936928.8000000007</v>
      </c>
      <c r="N420" s="5">
        <v>71572.039999999994</v>
      </c>
      <c r="O420" s="5">
        <v>8889722.9499999993</v>
      </c>
      <c r="P420" s="5">
        <v>8879181.6699999999</v>
      </c>
      <c r="Q420" s="5">
        <v>10541.28</v>
      </c>
      <c r="R420" s="5">
        <v>873872.93</v>
      </c>
      <c r="S420" s="5">
        <v>922222.45</v>
      </c>
      <c r="T420" s="5">
        <v>59177.79</v>
      </c>
      <c r="U420" s="5">
        <v>55123.26</v>
      </c>
      <c r="V420" s="5">
        <v>6898.26</v>
      </c>
      <c r="W420" s="5">
        <v>780.68</v>
      </c>
      <c r="X420" s="5">
        <v>1680.78</v>
      </c>
      <c r="Y420" s="4">
        <v>1294608</v>
      </c>
    </row>
    <row r="421" spans="1:25" ht="16.05" customHeight="1" x14ac:dyDescent="0.3">
      <c r="A421" s="7">
        <v>1379</v>
      </c>
      <c r="B421" s="7">
        <v>20</v>
      </c>
      <c r="C421" s="7">
        <v>2023</v>
      </c>
      <c r="D421" s="8" t="s">
        <v>26</v>
      </c>
      <c r="E421" s="9">
        <v>3970</v>
      </c>
      <c r="F421" s="10">
        <v>218565230.90000001</v>
      </c>
      <c r="G421" s="10">
        <v>64695308.329999998</v>
      </c>
      <c r="H421" s="11">
        <v>29.6</v>
      </c>
      <c r="I421" s="11">
        <v>9.23</v>
      </c>
      <c r="J421" s="10">
        <v>12575.75</v>
      </c>
      <c r="K421" s="10">
        <v>2450.31</v>
      </c>
      <c r="L421" s="10">
        <v>218518928.80000001</v>
      </c>
      <c r="M421" s="10">
        <v>218541709</v>
      </c>
      <c r="N421" s="10">
        <v>46302.080000000002</v>
      </c>
      <c r="O421" s="10">
        <v>218538713.09999999</v>
      </c>
      <c r="P421" s="10">
        <v>218524119.5</v>
      </c>
      <c r="Q421" s="10">
        <v>14593.62</v>
      </c>
      <c r="R421" s="10">
        <v>20173570.809999999</v>
      </c>
      <c r="S421" s="10">
        <v>44521737.530000001</v>
      </c>
      <c r="T421" s="10">
        <v>83178.53</v>
      </c>
      <c r="U421" s="10">
        <v>22033.68</v>
      </c>
      <c r="V421" s="10">
        <v>11794.04</v>
      </c>
      <c r="W421" s="10">
        <v>7990.28</v>
      </c>
      <c r="X421" s="10">
        <v>1699.35</v>
      </c>
      <c r="Y421" s="9">
        <v>4312728</v>
      </c>
    </row>
    <row r="422" spans="1:25" ht="16.05" customHeight="1" x14ac:dyDescent="0.3">
      <c r="A422" s="2">
        <v>1449</v>
      </c>
      <c r="B422" s="2">
        <v>21</v>
      </c>
      <c r="C422" s="2">
        <v>2023</v>
      </c>
      <c r="D422" s="3" t="s">
        <v>26</v>
      </c>
      <c r="E422" s="4">
        <v>1161</v>
      </c>
      <c r="F422" s="5">
        <v>33364878.210000001</v>
      </c>
      <c r="G422" s="5">
        <v>4614362.66</v>
      </c>
      <c r="H422" s="6">
        <v>13.83</v>
      </c>
      <c r="I422" s="6">
        <v>15.77</v>
      </c>
      <c r="J422" s="5">
        <v>8472.2199999999993</v>
      </c>
      <c r="K422" s="5">
        <v>14233.14</v>
      </c>
      <c r="L422" s="5">
        <v>33343176.420000002</v>
      </c>
      <c r="M422" s="5">
        <v>33360019.77</v>
      </c>
      <c r="N422" s="5">
        <v>21701.79</v>
      </c>
      <c r="O422" s="5">
        <v>33354550.989999998</v>
      </c>
      <c r="P422" s="5">
        <v>33344613.870000001</v>
      </c>
      <c r="Q422" s="5">
        <v>9937.1200000000008</v>
      </c>
      <c r="R422" s="5">
        <v>5261641.29</v>
      </c>
      <c r="S422" s="5">
        <v>-647278.64</v>
      </c>
      <c r="T422" s="5">
        <v>59337.18</v>
      </c>
      <c r="U422" s="5">
        <v>6901.46</v>
      </c>
      <c r="V422" s="5">
        <v>9313.24</v>
      </c>
      <c r="W422" s="5">
        <v>2061.33</v>
      </c>
      <c r="X422" s="5">
        <v>4877.26</v>
      </c>
      <c r="Y422" s="4">
        <v>4958841</v>
      </c>
    </row>
    <row r="423" spans="1:25" ht="16.05" customHeight="1" x14ac:dyDescent="0.3">
      <c r="A423" s="7">
        <v>1519</v>
      </c>
      <c r="B423" s="7">
        <v>22</v>
      </c>
      <c r="C423" s="7">
        <v>2023</v>
      </c>
      <c r="D423" s="8" t="s">
        <v>26</v>
      </c>
      <c r="E423" s="9">
        <v>892</v>
      </c>
      <c r="F423" s="10">
        <v>4558813.28</v>
      </c>
      <c r="G423" s="10">
        <v>1302452.95</v>
      </c>
      <c r="H423" s="11">
        <v>28.57</v>
      </c>
      <c r="I423" s="11">
        <v>7.53</v>
      </c>
      <c r="J423" s="10">
        <v>3881.28</v>
      </c>
      <c r="K423" s="10">
        <v>10778.53</v>
      </c>
      <c r="L423" s="10">
        <v>4460290.5599999996</v>
      </c>
      <c r="M423" s="10">
        <v>4551078.2300000004</v>
      </c>
      <c r="N423" s="10">
        <v>98522.72</v>
      </c>
      <c r="O423" s="10">
        <v>4476903.05</v>
      </c>
      <c r="P423" s="10">
        <v>4462074.46</v>
      </c>
      <c r="Q423" s="10">
        <v>14828.59</v>
      </c>
      <c r="R423" s="10">
        <v>343278.64</v>
      </c>
      <c r="S423" s="10">
        <v>959174.31</v>
      </c>
      <c r="T423" s="10">
        <v>106993.31</v>
      </c>
      <c r="U423" s="10">
        <v>39587.42</v>
      </c>
      <c r="V423" s="10">
        <v>10673.64</v>
      </c>
      <c r="W423" s="10">
        <v>5938.85</v>
      </c>
      <c r="X423" s="10">
        <v>4144.67</v>
      </c>
      <c r="Y423" s="9">
        <v>4350543</v>
      </c>
    </row>
    <row r="424" spans="1:25" ht="16.05" customHeight="1" x14ac:dyDescent="0.3">
      <c r="A424" s="2">
        <v>1589</v>
      </c>
      <c r="B424" s="2">
        <v>23</v>
      </c>
      <c r="C424" s="2">
        <v>2023</v>
      </c>
      <c r="D424" s="3" t="s">
        <v>26</v>
      </c>
      <c r="E424" s="4">
        <v>3564</v>
      </c>
      <c r="F424" s="5">
        <v>102706237.2</v>
      </c>
      <c r="G424" s="5">
        <v>25738183.050000001</v>
      </c>
      <c r="H424" s="6">
        <v>25.06</v>
      </c>
      <c r="I424" s="6">
        <v>13.27</v>
      </c>
      <c r="J424" s="5">
        <v>10884.66</v>
      </c>
      <c r="K424" s="5">
        <v>19831.080000000002</v>
      </c>
      <c r="L424" s="5">
        <v>102663489.8</v>
      </c>
      <c r="M424" s="5">
        <v>102692146.09999999</v>
      </c>
      <c r="N424" s="5">
        <v>42747.47</v>
      </c>
      <c r="O424" s="5">
        <v>102678413.5</v>
      </c>
      <c r="P424" s="5">
        <v>102669689.90000001</v>
      </c>
      <c r="Q424" s="5">
        <v>8723.67</v>
      </c>
      <c r="R424" s="5">
        <v>13629117.68</v>
      </c>
      <c r="S424" s="5">
        <v>12109065.369999999</v>
      </c>
      <c r="T424" s="5">
        <v>57073.61</v>
      </c>
      <c r="U424" s="5">
        <v>12868.21</v>
      </c>
      <c r="V424" s="5">
        <v>9094.1200000000008</v>
      </c>
      <c r="W424" s="5">
        <v>5829.66</v>
      </c>
      <c r="X424" s="5">
        <v>3697.7</v>
      </c>
      <c r="Y424" s="4">
        <v>1937099</v>
      </c>
    </row>
    <row r="425" spans="1:25" ht="16.05" customHeight="1" x14ac:dyDescent="0.3">
      <c r="A425" s="7">
        <v>1659</v>
      </c>
      <c r="B425" s="7">
        <v>24</v>
      </c>
      <c r="C425" s="7">
        <v>2023</v>
      </c>
      <c r="D425" s="8" t="s">
        <v>26</v>
      </c>
      <c r="E425" s="9">
        <v>6469</v>
      </c>
      <c r="F425" s="10">
        <v>423123560.69999999</v>
      </c>
      <c r="G425" s="10">
        <v>71846380.599999994</v>
      </c>
      <c r="H425" s="11">
        <v>16.98</v>
      </c>
      <c r="I425" s="11">
        <v>13.88</v>
      </c>
      <c r="J425" s="10">
        <v>10281.93</v>
      </c>
      <c r="K425" s="10">
        <v>13277.09</v>
      </c>
      <c r="L425" s="10">
        <v>423085041.69999999</v>
      </c>
      <c r="M425" s="10">
        <v>423109192.60000002</v>
      </c>
      <c r="N425" s="10">
        <v>38519.01</v>
      </c>
      <c r="O425" s="10">
        <v>423089282.19999999</v>
      </c>
      <c r="P425" s="10">
        <v>423075435.69999999</v>
      </c>
      <c r="Q425" s="10">
        <v>13846.57</v>
      </c>
      <c r="R425" s="10">
        <v>58729550.219999999</v>
      </c>
      <c r="S425" s="10">
        <v>13116830.380000001</v>
      </c>
      <c r="T425" s="10">
        <v>88694.34</v>
      </c>
      <c r="U425" s="10">
        <v>52779.75</v>
      </c>
      <c r="V425" s="10">
        <v>3067.44</v>
      </c>
      <c r="W425" s="10">
        <v>1173.1400000000001</v>
      </c>
      <c r="X425" s="10">
        <v>3349.12</v>
      </c>
      <c r="Y425" s="9">
        <v>2036188</v>
      </c>
    </row>
    <row r="426" spans="1:25" ht="16.05" customHeight="1" x14ac:dyDescent="0.3">
      <c r="A426" s="2">
        <v>1729</v>
      </c>
      <c r="B426" s="2">
        <v>25</v>
      </c>
      <c r="C426" s="2">
        <v>2023</v>
      </c>
      <c r="D426" s="3" t="s">
        <v>26</v>
      </c>
      <c r="E426" s="4">
        <v>4831</v>
      </c>
      <c r="F426" s="5">
        <v>203687878.19999999</v>
      </c>
      <c r="G426" s="5">
        <v>17211625.710000001</v>
      </c>
      <c r="H426" s="6">
        <v>8.4499999999999993</v>
      </c>
      <c r="I426" s="6">
        <v>6.57</v>
      </c>
      <c r="J426" s="5">
        <v>1218.82</v>
      </c>
      <c r="K426" s="5">
        <v>15057.46</v>
      </c>
      <c r="L426" s="5">
        <v>203650404</v>
      </c>
      <c r="M426" s="5">
        <v>203662627.80000001</v>
      </c>
      <c r="N426" s="5">
        <v>37474.239999999998</v>
      </c>
      <c r="O426" s="5">
        <v>203657809.09999999</v>
      </c>
      <c r="P426" s="5">
        <v>203650480.80000001</v>
      </c>
      <c r="Q426" s="5">
        <v>7328.38</v>
      </c>
      <c r="R426" s="5">
        <v>13382293.6</v>
      </c>
      <c r="S426" s="5">
        <v>3829332.11</v>
      </c>
      <c r="T426" s="5">
        <v>50207.47</v>
      </c>
      <c r="U426" s="5">
        <v>14403.56</v>
      </c>
      <c r="V426" s="5">
        <v>5947.04</v>
      </c>
      <c r="W426" s="5">
        <v>1458.1</v>
      </c>
      <c r="X426" s="5">
        <v>1539.17</v>
      </c>
      <c r="Y426" s="4">
        <v>1482754</v>
      </c>
    </row>
    <row r="427" spans="1:25" ht="16.05" customHeight="1" x14ac:dyDescent="0.3">
      <c r="A427" s="7">
        <v>1799</v>
      </c>
      <c r="B427" s="7">
        <v>26</v>
      </c>
      <c r="C427" s="7">
        <v>2023</v>
      </c>
      <c r="D427" s="8" t="s">
        <v>26</v>
      </c>
      <c r="E427" s="9">
        <v>6472</v>
      </c>
      <c r="F427" s="10">
        <v>432743548.89999998</v>
      </c>
      <c r="G427" s="10">
        <v>48467277.479999997</v>
      </c>
      <c r="H427" s="11">
        <v>11.2</v>
      </c>
      <c r="I427" s="11">
        <v>18.23</v>
      </c>
      <c r="J427" s="10">
        <v>2647.38</v>
      </c>
      <c r="K427" s="10">
        <v>12627.78</v>
      </c>
      <c r="L427" s="10">
        <v>432714854.5</v>
      </c>
      <c r="M427" s="10">
        <v>432719446.5</v>
      </c>
      <c r="N427" s="10">
        <v>28694.47</v>
      </c>
      <c r="O427" s="10">
        <v>432724060.19999999</v>
      </c>
      <c r="P427" s="10">
        <v>432714158</v>
      </c>
      <c r="Q427" s="10">
        <v>9902.18</v>
      </c>
      <c r="R427" s="10">
        <v>78889148.969999999</v>
      </c>
      <c r="S427" s="10">
        <v>-30421871.489999998</v>
      </c>
      <c r="T427" s="10">
        <v>43558.28</v>
      </c>
      <c r="U427" s="10">
        <v>18611.46</v>
      </c>
      <c r="V427" s="10">
        <v>5957.13</v>
      </c>
      <c r="W427" s="10">
        <v>3248.57</v>
      </c>
      <c r="X427" s="10">
        <v>2034.37</v>
      </c>
      <c r="Y427" s="9">
        <v>2923095</v>
      </c>
    </row>
    <row r="428" spans="1:25" ht="16.05" customHeight="1" x14ac:dyDescent="0.3">
      <c r="A428" s="2">
        <v>1869</v>
      </c>
      <c r="B428" s="2">
        <v>27</v>
      </c>
      <c r="C428" s="2">
        <v>2023</v>
      </c>
      <c r="D428" s="3" t="s">
        <v>26</v>
      </c>
      <c r="E428" s="4">
        <v>3759</v>
      </c>
      <c r="F428" s="5">
        <v>127916622.2</v>
      </c>
      <c r="G428" s="5">
        <v>15362786.32</v>
      </c>
      <c r="H428" s="6">
        <v>12.01</v>
      </c>
      <c r="I428" s="6">
        <v>16.440000000000001</v>
      </c>
      <c r="J428" s="5">
        <v>4979.26</v>
      </c>
      <c r="K428" s="5">
        <v>11181.01</v>
      </c>
      <c r="L428" s="5">
        <v>127904589.3</v>
      </c>
      <c r="M428" s="5">
        <v>127909766.40000001</v>
      </c>
      <c r="N428" s="5">
        <v>12032.86</v>
      </c>
      <c r="O428" s="5">
        <v>127922013.8</v>
      </c>
      <c r="P428" s="5">
        <v>127917986.09999999</v>
      </c>
      <c r="Q428" s="5">
        <v>4027.61</v>
      </c>
      <c r="R428" s="5">
        <v>21029492.690000001</v>
      </c>
      <c r="S428" s="5">
        <v>-5666706.3600000003</v>
      </c>
      <c r="T428" s="5">
        <v>94853.28</v>
      </c>
      <c r="U428" s="5">
        <v>23936.49</v>
      </c>
      <c r="V428" s="5">
        <v>10940.28</v>
      </c>
      <c r="W428" s="5">
        <v>6484.16</v>
      </c>
      <c r="X428" s="5">
        <v>4476.0600000000004</v>
      </c>
      <c r="Y428" s="4">
        <v>4058491</v>
      </c>
    </row>
    <row r="429" spans="1:25" ht="16.05" customHeight="1" x14ac:dyDescent="0.3">
      <c r="A429" s="7">
        <v>1939</v>
      </c>
      <c r="B429" s="7">
        <v>28</v>
      </c>
      <c r="C429" s="7">
        <v>2023</v>
      </c>
      <c r="D429" s="8" t="s">
        <v>26</v>
      </c>
      <c r="E429" s="9">
        <v>120</v>
      </c>
      <c r="F429" s="10">
        <v>6767302.6600000001</v>
      </c>
      <c r="G429" s="10">
        <v>364080.88</v>
      </c>
      <c r="H429" s="11">
        <v>5.38</v>
      </c>
      <c r="I429" s="11">
        <v>9.75</v>
      </c>
      <c r="J429" s="10">
        <v>6486.51</v>
      </c>
      <c r="K429" s="10">
        <v>11636.18</v>
      </c>
      <c r="L429" s="10">
        <v>6740260.04</v>
      </c>
      <c r="M429" s="10">
        <v>6755280.2800000003</v>
      </c>
      <c r="N429" s="10">
        <v>27042.62</v>
      </c>
      <c r="O429" s="10">
        <v>6750457.5999999996</v>
      </c>
      <c r="P429" s="10">
        <v>6735782.0199999996</v>
      </c>
      <c r="Q429" s="10">
        <v>14675.58</v>
      </c>
      <c r="R429" s="10">
        <v>659812.01</v>
      </c>
      <c r="S429" s="10">
        <v>-295731.13</v>
      </c>
      <c r="T429" s="10">
        <v>69263.960000000006</v>
      </c>
      <c r="U429" s="10">
        <v>41655.360000000001</v>
      </c>
      <c r="V429" s="10">
        <v>5305.46</v>
      </c>
      <c r="W429" s="10">
        <v>4892.1000000000004</v>
      </c>
      <c r="X429" s="10">
        <v>2766.61</v>
      </c>
      <c r="Y429" s="9">
        <v>1817913</v>
      </c>
    </row>
    <row r="430" spans="1:25" ht="16.05" customHeight="1" x14ac:dyDescent="0.3">
      <c r="A430" s="2">
        <v>2009</v>
      </c>
      <c r="B430" s="2">
        <v>29</v>
      </c>
      <c r="C430" s="2">
        <v>2023</v>
      </c>
      <c r="D430" s="3" t="s">
        <v>26</v>
      </c>
      <c r="E430" s="4">
        <v>4207</v>
      </c>
      <c r="F430" s="5">
        <v>266787737.69999999</v>
      </c>
      <c r="G430" s="5">
        <v>77768625.540000007</v>
      </c>
      <c r="H430" s="6">
        <v>29.15</v>
      </c>
      <c r="I430" s="6">
        <v>9.11</v>
      </c>
      <c r="J430" s="5">
        <v>8356.42</v>
      </c>
      <c r="K430" s="5">
        <v>4289.8100000000004</v>
      </c>
      <c r="L430" s="5">
        <v>266707812.30000001</v>
      </c>
      <c r="M430" s="5">
        <v>266765309.19999999</v>
      </c>
      <c r="N430" s="5">
        <v>79925.42</v>
      </c>
      <c r="O430" s="5">
        <v>266722424.09999999</v>
      </c>
      <c r="P430" s="5">
        <v>266718762.69999999</v>
      </c>
      <c r="Q430" s="5">
        <v>3661.4</v>
      </c>
      <c r="R430" s="5">
        <v>24304362.899999999</v>
      </c>
      <c r="S430" s="5">
        <v>53464262.630000003</v>
      </c>
      <c r="T430" s="5">
        <v>74345.09</v>
      </c>
      <c r="U430" s="5">
        <v>18914.740000000002</v>
      </c>
      <c r="V430" s="5">
        <v>9821.49</v>
      </c>
      <c r="W430" s="5">
        <v>4790.3599999999997</v>
      </c>
      <c r="X430" s="5">
        <v>4035.13</v>
      </c>
      <c r="Y430" s="4">
        <v>4454036</v>
      </c>
    </row>
    <row r="431" spans="1:25" ht="16.05" customHeight="1" x14ac:dyDescent="0.3">
      <c r="A431" s="7">
        <v>2079</v>
      </c>
      <c r="B431" s="7">
        <v>30</v>
      </c>
      <c r="C431" s="7">
        <v>2023</v>
      </c>
      <c r="D431" s="8" t="s">
        <v>26</v>
      </c>
      <c r="E431" s="9">
        <v>2186</v>
      </c>
      <c r="F431" s="10">
        <v>70375715.480000004</v>
      </c>
      <c r="G431" s="10">
        <v>6861632.2599999998</v>
      </c>
      <c r="H431" s="11">
        <v>9.75</v>
      </c>
      <c r="I431" s="11">
        <v>17.41</v>
      </c>
      <c r="J431" s="10">
        <v>14611.96</v>
      </c>
      <c r="K431" s="10">
        <v>12258.5</v>
      </c>
      <c r="L431" s="10">
        <v>70361709.959999993</v>
      </c>
      <c r="M431" s="10">
        <v>70361065.719999999</v>
      </c>
      <c r="N431" s="10">
        <v>14005.52</v>
      </c>
      <c r="O431" s="10">
        <v>70371082.340000004</v>
      </c>
      <c r="P431" s="10">
        <v>70364697.689999998</v>
      </c>
      <c r="Q431" s="10">
        <v>6384.65</v>
      </c>
      <c r="R431" s="10">
        <v>12252412.07</v>
      </c>
      <c r="S431" s="10">
        <v>-5390779.8099999996</v>
      </c>
      <c r="T431" s="10">
        <v>68767.789999999994</v>
      </c>
      <c r="U431" s="10">
        <v>49947.1</v>
      </c>
      <c r="V431" s="10">
        <v>6055.4</v>
      </c>
      <c r="W431" s="10">
        <v>3316.98</v>
      </c>
      <c r="X431" s="10">
        <v>3018.04</v>
      </c>
      <c r="Y431" s="9">
        <v>4239318</v>
      </c>
    </row>
    <row r="432" spans="1:25" ht="16.05" customHeight="1" x14ac:dyDescent="0.3">
      <c r="A432" s="2">
        <v>2149</v>
      </c>
      <c r="B432" s="2">
        <v>31</v>
      </c>
      <c r="C432" s="2">
        <v>2023</v>
      </c>
      <c r="D432" s="3" t="s">
        <v>26</v>
      </c>
      <c r="E432" s="4">
        <v>4982</v>
      </c>
      <c r="F432" s="5">
        <v>25616400.66</v>
      </c>
      <c r="G432" s="5">
        <v>2033942.21</v>
      </c>
      <c r="H432" s="6">
        <v>7.94</v>
      </c>
      <c r="I432" s="6">
        <v>11.95</v>
      </c>
      <c r="J432" s="5">
        <v>3329</v>
      </c>
      <c r="K432" s="5">
        <v>16282.87</v>
      </c>
      <c r="L432" s="5">
        <v>25533327.469999999</v>
      </c>
      <c r="M432" s="5">
        <v>25603557.469999999</v>
      </c>
      <c r="N432" s="5">
        <v>83073.19</v>
      </c>
      <c r="O432" s="5">
        <v>25542513.48</v>
      </c>
      <c r="P432" s="5">
        <v>25538245.899999999</v>
      </c>
      <c r="Q432" s="5">
        <v>4267.58</v>
      </c>
      <c r="R432" s="5">
        <v>3061159.88</v>
      </c>
      <c r="S432" s="5">
        <v>-1027217.67</v>
      </c>
      <c r="T432" s="5">
        <v>10626.5</v>
      </c>
      <c r="U432" s="5">
        <v>28463.7</v>
      </c>
      <c r="V432" s="5">
        <v>6895.71</v>
      </c>
      <c r="W432" s="5">
        <v>2290.3000000000002</v>
      </c>
      <c r="X432" s="5">
        <v>1239.3699999999999</v>
      </c>
      <c r="Y432" s="4">
        <v>1094668</v>
      </c>
    </row>
    <row r="433" spans="1:25" ht="16.05" customHeight="1" x14ac:dyDescent="0.3">
      <c r="A433" s="7">
        <v>2219</v>
      </c>
      <c r="B433" s="7">
        <v>32</v>
      </c>
      <c r="C433" s="7">
        <v>2023</v>
      </c>
      <c r="D433" s="8" t="s">
        <v>26</v>
      </c>
      <c r="E433" s="9">
        <v>1125</v>
      </c>
      <c r="F433" s="10">
        <v>52911577.700000003</v>
      </c>
      <c r="G433" s="10">
        <v>15730612.050000001</v>
      </c>
      <c r="H433" s="11">
        <v>29.73</v>
      </c>
      <c r="I433" s="11">
        <v>16.23</v>
      </c>
      <c r="J433" s="10">
        <v>8769.69</v>
      </c>
      <c r="K433" s="10">
        <v>17748.580000000002</v>
      </c>
      <c r="L433" s="10">
        <v>52852991.82</v>
      </c>
      <c r="M433" s="10">
        <v>52887777.799999997</v>
      </c>
      <c r="N433" s="10">
        <v>58585.88</v>
      </c>
      <c r="O433" s="10">
        <v>52858453.100000001</v>
      </c>
      <c r="P433" s="10">
        <v>52856372.210000001</v>
      </c>
      <c r="Q433" s="10">
        <v>2080.89</v>
      </c>
      <c r="R433" s="10">
        <v>8587549.0600000005</v>
      </c>
      <c r="S433" s="10">
        <v>7143062.9900000002</v>
      </c>
      <c r="T433" s="10">
        <v>68062.7</v>
      </c>
      <c r="U433" s="10">
        <v>16366.98</v>
      </c>
      <c r="V433" s="10">
        <v>2568.54</v>
      </c>
      <c r="W433" s="10">
        <v>2892.74</v>
      </c>
      <c r="X433" s="10">
        <v>1094.5</v>
      </c>
      <c r="Y433" s="9">
        <v>4653277</v>
      </c>
    </row>
    <row r="434" spans="1:25" ht="16.05" customHeight="1" x14ac:dyDescent="0.3">
      <c r="A434" s="2">
        <v>2289</v>
      </c>
      <c r="B434" s="2">
        <v>33</v>
      </c>
      <c r="C434" s="2">
        <v>2023</v>
      </c>
      <c r="D434" s="3" t="s">
        <v>26</v>
      </c>
      <c r="E434" s="4">
        <v>6476</v>
      </c>
      <c r="F434" s="5">
        <v>160338011.59999999</v>
      </c>
      <c r="G434" s="5">
        <v>29887005.359999999</v>
      </c>
      <c r="H434" s="6">
        <v>18.64</v>
      </c>
      <c r="I434" s="6">
        <v>7.21</v>
      </c>
      <c r="J434" s="5">
        <v>11575.09</v>
      </c>
      <c r="K434" s="5">
        <v>19458.990000000002</v>
      </c>
      <c r="L434" s="5">
        <v>160292786.59999999</v>
      </c>
      <c r="M434" s="5">
        <v>160333353.19999999</v>
      </c>
      <c r="N434" s="5">
        <v>45224.959999999999</v>
      </c>
      <c r="O434" s="5">
        <v>160301977.40000001</v>
      </c>
      <c r="P434" s="5">
        <v>160290772</v>
      </c>
      <c r="Q434" s="5">
        <v>11205.37</v>
      </c>
      <c r="R434" s="5">
        <v>11560370.640000001</v>
      </c>
      <c r="S434" s="5">
        <v>18326634.719999999</v>
      </c>
      <c r="T434" s="5">
        <v>91370.75</v>
      </c>
      <c r="U434" s="5">
        <v>32461.96</v>
      </c>
      <c r="V434" s="5">
        <v>1912.76</v>
      </c>
      <c r="W434" s="5">
        <v>7277.98</v>
      </c>
      <c r="X434" s="5">
        <v>1243.8900000000001</v>
      </c>
      <c r="Y434" s="4">
        <v>4598826</v>
      </c>
    </row>
    <row r="435" spans="1:25" ht="16.05" customHeight="1" x14ac:dyDescent="0.3">
      <c r="A435" s="7">
        <v>2359</v>
      </c>
      <c r="B435" s="7">
        <v>34</v>
      </c>
      <c r="C435" s="7">
        <v>2023</v>
      </c>
      <c r="D435" s="8" t="s">
        <v>26</v>
      </c>
      <c r="E435" s="9">
        <v>1391</v>
      </c>
      <c r="F435" s="10">
        <v>38204024.829999998</v>
      </c>
      <c r="G435" s="10">
        <v>6750651.1900000004</v>
      </c>
      <c r="H435" s="11">
        <v>17.670000000000002</v>
      </c>
      <c r="I435" s="11">
        <v>6.85</v>
      </c>
      <c r="J435" s="10">
        <v>7673.14</v>
      </c>
      <c r="K435" s="10">
        <v>13378.87</v>
      </c>
      <c r="L435" s="10">
        <v>38140973.020000003</v>
      </c>
      <c r="M435" s="10">
        <v>38198596.93</v>
      </c>
      <c r="N435" s="10">
        <v>63051.81</v>
      </c>
      <c r="O435" s="10">
        <v>38146860.399999999</v>
      </c>
      <c r="P435" s="10">
        <v>38139016.420000002</v>
      </c>
      <c r="Q435" s="10">
        <v>7843.98</v>
      </c>
      <c r="R435" s="10">
        <v>2616975.7000000002</v>
      </c>
      <c r="S435" s="10">
        <v>4133675.49</v>
      </c>
      <c r="T435" s="10">
        <v>79094.62</v>
      </c>
      <c r="U435" s="10">
        <v>48272.23</v>
      </c>
      <c r="V435" s="10">
        <v>2074.96</v>
      </c>
      <c r="W435" s="10">
        <v>3812.42</v>
      </c>
      <c r="X435" s="10">
        <v>3177.32</v>
      </c>
      <c r="Y435" s="9">
        <v>3851014</v>
      </c>
    </row>
    <row r="436" spans="1:25" ht="16.05" customHeight="1" x14ac:dyDescent="0.3">
      <c r="A436" s="2">
        <v>2429</v>
      </c>
      <c r="B436" s="2">
        <v>35</v>
      </c>
      <c r="C436" s="2">
        <v>2023</v>
      </c>
      <c r="D436" s="3" t="s">
        <v>26</v>
      </c>
      <c r="E436" s="4">
        <v>4698</v>
      </c>
      <c r="F436" s="5">
        <v>102451731.8</v>
      </c>
      <c r="G436" s="5">
        <v>15183346.65</v>
      </c>
      <c r="H436" s="6">
        <v>14.82</v>
      </c>
      <c r="I436" s="6">
        <v>9.25</v>
      </c>
      <c r="J436" s="5">
        <v>12227.8</v>
      </c>
      <c r="K436" s="5">
        <v>10339.34</v>
      </c>
      <c r="L436" s="5">
        <v>102355141.5</v>
      </c>
      <c r="M436" s="5">
        <v>102443889.3</v>
      </c>
      <c r="N436" s="5">
        <v>96590.32</v>
      </c>
      <c r="O436" s="5">
        <v>102366321.5</v>
      </c>
      <c r="P436" s="5">
        <v>102352058.90000001</v>
      </c>
      <c r="Q436" s="5">
        <v>14262.62</v>
      </c>
      <c r="R436" s="5">
        <v>9476785.1899999995</v>
      </c>
      <c r="S436" s="5">
        <v>5706561.46</v>
      </c>
      <c r="T436" s="5">
        <v>20533.36</v>
      </c>
      <c r="U436" s="5">
        <v>52106.76</v>
      </c>
      <c r="V436" s="5">
        <v>6336.86</v>
      </c>
      <c r="W436" s="5">
        <v>4843.13</v>
      </c>
      <c r="X436" s="5">
        <v>4864.82</v>
      </c>
      <c r="Y436" s="4">
        <v>4833483</v>
      </c>
    </row>
    <row r="437" spans="1:25" ht="16.05" customHeight="1" x14ac:dyDescent="0.3">
      <c r="A437" s="7">
        <v>2499</v>
      </c>
      <c r="B437" s="7">
        <v>36</v>
      </c>
      <c r="C437" s="7">
        <v>2023</v>
      </c>
      <c r="D437" s="8" t="s">
        <v>26</v>
      </c>
      <c r="E437" s="9">
        <v>1590</v>
      </c>
      <c r="F437" s="10">
        <v>26301812.710000001</v>
      </c>
      <c r="G437" s="10">
        <v>5231430.55</v>
      </c>
      <c r="H437" s="11">
        <v>19.89</v>
      </c>
      <c r="I437" s="11">
        <v>14.73</v>
      </c>
      <c r="J437" s="10">
        <v>9133.15</v>
      </c>
      <c r="K437" s="10">
        <v>11943.64</v>
      </c>
      <c r="L437" s="10">
        <v>26261215.949999999</v>
      </c>
      <c r="M437" s="10">
        <v>26286973.23</v>
      </c>
      <c r="N437" s="10">
        <v>40596.76</v>
      </c>
      <c r="O437" s="10">
        <v>26265889.210000001</v>
      </c>
      <c r="P437" s="10">
        <v>26257501.07</v>
      </c>
      <c r="Q437" s="10">
        <v>8388.14</v>
      </c>
      <c r="R437" s="10">
        <v>3874257.01</v>
      </c>
      <c r="S437" s="10">
        <v>1357173.54</v>
      </c>
      <c r="T437" s="10">
        <v>45044.13</v>
      </c>
      <c r="U437" s="10">
        <v>10621.41</v>
      </c>
      <c r="V437" s="10">
        <v>2112.0700000000002</v>
      </c>
      <c r="W437" s="10">
        <v>2561.19</v>
      </c>
      <c r="X437" s="10">
        <v>3013.75</v>
      </c>
      <c r="Y437" s="9">
        <v>4425429</v>
      </c>
    </row>
    <row r="438" spans="1:25" ht="16.05" customHeight="1" x14ac:dyDescent="0.3">
      <c r="A438" s="2">
        <v>2569</v>
      </c>
      <c r="B438" s="2">
        <v>37</v>
      </c>
      <c r="C438" s="2">
        <v>2023</v>
      </c>
      <c r="D438" s="3" t="s">
        <v>26</v>
      </c>
      <c r="E438" s="4">
        <v>3453</v>
      </c>
      <c r="F438" s="5">
        <v>66068983.359999999</v>
      </c>
      <c r="G438" s="5">
        <v>15995300.869999999</v>
      </c>
      <c r="H438" s="6">
        <v>24.21</v>
      </c>
      <c r="I438" s="6">
        <v>17.260000000000002</v>
      </c>
      <c r="J438" s="5">
        <v>7891.87</v>
      </c>
      <c r="K438" s="5">
        <v>12040.02</v>
      </c>
      <c r="L438" s="5">
        <v>66020236.030000001</v>
      </c>
      <c r="M438" s="5">
        <v>66044408.700000003</v>
      </c>
      <c r="N438" s="5">
        <v>48747.33</v>
      </c>
      <c r="O438" s="5">
        <v>66024785.109999999</v>
      </c>
      <c r="P438" s="5">
        <v>66010527.189999998</v>
      </c>
      <c r="Q438" s="5">
        <v>14257.92</v>
      </c>
      <c r="R438" s="5">
        <v>11403506.529999999</v>
      </c>
      <c r="S438" s="5">
        <v>4591794.34</v>
      </c>
      <c r="T438" s="5">
        <v>20384.84</v>
      </c>
      <c r="U438" s="5">
        <v>18039.09</v>
      </c>
      <c r="V438" s="5">
        <v>3940.78</v>
      </c>
      <c r="W438" s="5">
        <v>608.29999999999995</v>
      </c>
      <c r="X438" s="5">
        <v>4474.92</v>
      </c>
      <c r="Y438" s="4">
        <v>3308075</v>
      </c>
    </row>
    <row r="439" spans="1:25" ht="16.05" customHeight="1" x14ac:dyDescent="0.3">
      <c r="A439" s="7">
        <v>2639</v>
      </c>
      <c r="B439" s="7">
        <v>38</v>
      </c>
      <c r="C439" s="7">
        <v>2023</v>
      </c>
      <c r="D439" s="8" t="s">
        <v>26</v>
      </c>
      <c r="E439" s="9">
        <v>6563</v>
      </c>
      <c r="F439" s="10">
        <v>73646019.109999999</v>
      </c>
      <c r="G439" s="10">
        <v>13712888.76</v>
      </c>
      <c r="H439" s="11">
        <v>18.62</v>
      </c>
      <c r="I439" s="11">
        <v>15.36</v>
      </c>
      <c r="J439" s="10">
        <v>13363.15</v>
      </c>
      <c r="K439" s="10">
        <v>15670.59</v>
      </c>
      <c r="L439" s="10">
        <v>73572195.290000007</v>
      </c>
      <c r="M439" s="10">
        <v>73621845.980000004</v>
      </c>
      <c r="N439" s="10">
        <v>73823.820000000007</v>
      </c>
      <c r="O439" s="10">
        <v>73589014.230000004</v>
      </c>
      <c r="P439" s="10">
        <v>73578175</v>
      </c>
      <c r="Q439" s="10">
        <v>10839.23</v>
      </c>
      <c r="R439" s="10">
        <v>11312028.529999999</v>
      </c>
      <c r="S439" s="10">
        <v>2400860.2200000002</v>
      </c>
      <c r="T439" s="10">
        <v>50378.78</v>
      </c>
      <c r="U439" s="10">
        <v>22145.95</v>
      </c>
      <c r="V439" s="10">
        <v>8928.58</v>
      </c>
      <c r="W439" s="10">
        <v>7890.36</v>
      </c>
      <c r="X439" s="10">
        <v>1297.67</v>
      </c>
      <c r="Y439" s="9">
        <v>2560055</v>
      </c>
    </row>
    <row r="440" spans="1:25" ht="16.05" customHeight="1" x14ac:dyDescent="0.3">
      <c r="A440" s="2">
        <v>2709</v>
      </c>
      <c r="B440" s="2">
        <v>39</v>
      </c>
      <c r="C440" s="2">
        <v>2023</v>
      </c>
      <c r="D440" s="3" t="s">
        <v>26</v>
      </c>
      <c r="E440" s="4">
        <v>5587</v>
      </c>
      <c r="F440" s="5">
        <v>291419222.80000001</v>
      </c>
      <c r="G440" s="5">
        <v>40332420.439999998</v>
      </c>
      <c r="H440" s="6">
        <v>13.84</v>
      </c>
      <c r="I440" s="6">
        <v>16.239999999999998</v>
      </c>
      <c r="J440" s="5">
        <v>2079.4699999999998</v>
      </c>
      <c r="K440" s="5">
        <v>8485.16</v>
      </c>
      <c r="L440" s="5">
        <v>291369665.5</v>
      </c>
      <c r="M440" s="5">
        <v>291405390.10000002</v>
      </c>
      <c r="N440" s="5">
        <v>49557.32</v>
      </c>
      <c r="O440" s="5">
        <v>291382982.19999999</v>
      </c>
      <c r="P440" s="5">
        <v>291373135.39999998</v>
      </c>
      <c r="Q440" s="5">
        <v>9846.89</v>
      </c>
      <c r="R440" s="5">
        <v>47326481.789999999</v>
      </c>
      <c r="S440" s="5">
        <v>-6994061.3499999996</v>
      </c>
      <c r="T440" s="5">
        <v>69020.460000000006</v>
      </c>
      <c r="U440" s="5">
        <v>51440.71</v>
      </c>
      <c r="V440" s="5">
        <v>10497.31</v>
      </c>
      <c r="W440" s="5">
        <v>2819.43</v>
      </c>
      <c r="X440" s="5">
        <v>2736.28</v>
      </c>
      <c r="Y440" s="4">
        <v>3365685</v>
      </c>
    </row>
    <row r="441" spans="1:25" ht="16.05" customHeight="1" x14ac:dyDescent="0.3">
      <c r="A441" s="7">
        <v>2779</v>
      </c>
      <c r="B441" s="7">
        <v>40</v>
      </c>
      <c r="C441" s="7">
        <v>2023</v>
      </c>
      <c r="D441" s="8" t="s">
        <v>26</v>
      </c>
      <c r="E441" s="9">
        <v>5167</v>
      </c>
      <c r="F441" s="10">
        <v>86972130.560000002</v>
      </c>
      <c r="G441" s="10">
        <v>19916617.899999999</v>
      </c>
      <c r="H441" s="11">
        <v>22.9</v>
      </c>
      <c r="I441" s="11">
        <v>18.77</v>
      </c>
      <c r="J441" s="10">
        <v>6240.9</v>
      </c>
      <c r="K441" s="10">
        <v>12092.79</v>
      </c>
      <c r="L441" s="10">
        <v>86936258.540000007</v>
      </c>
      <c r="M441" s="10">
        <v>86950744.069999993</v>
      </c>
      <c r="N441" s="10">
        <v>35872.019999999997</v>
      </c>
      <c r="O441" s="10">
        <v>86939893.939999998</v>
      </c>
      <c r="P441" s="10">
        <v>86932495.980000004</v>
      </c>
      <c r="Q441" s="10">
        <v>7397.96</v>
      </c>
      <c r="R441" s="10">
        <v>16324668.91</v>
      </c>
      <c r="S441" s="10">
        <v>3591948.99</v>
      </c>
      <c r="T441" s="10">
        <v>75183.679999999993</v>
      </c>
      <c r="U441" s="10">
        <v>43470.080000000002</v>
      </c>
      <c r="V441" s="10">
        <v>1772.26</v>
      </c>
      <c r="W441" s="10">
        <v>1863.14</v>
      </c>
      <c r="X441" s="10">
        <v>2086.35</v>
      </c>
      <c r="Y441" s="9">
        <v>4309968</v>
      </c>
    </row>
    <row r="442" spans="1:25" ht="16.05" customHeight="1" x14ac:dyDescent="0.3">
      <c r="A442" s="2">
        <v>2849</v>
      </c>
      <c r="B442" s="2">
        <v>41</v>
      </c>
      <c r="C442" s="2">
        <v>2023</v>
      </c>
      <c r="D442" s="3" t="s">
        <v>26</v>
      </c>
      <c r="E442" s="4">
        <v>6078</v>
      </c>
      <c r="F442" s="5">
        <v>40119393.609999999</v>
      </c>
      <c r="G442" s="5">
        <v>8372917.4500000002</v>
      </c>
      <c r="H442" s="6">
        <v>20.87</v>
      </c>
      <c r="I442" s="6">
        <v>5.17</v>
      </c>
      <c r="J442" s="5">
        <v>2952.53</v>
      </c>
      <c r="K442" s="5">
        <v>6453.47</v>
      </c>
      <c r="L442" s="5">
        <v>40088478.68</v>
      </c>
      <c r="M442" s="5">
        <v>40103136.130000003</v>
      </c>
      <c r="N442" s="5">
        <v>30914.93</v>
      </c>
      <c r="O442" s="5">
        <v>40098059.859999999</v>
      </c>
      <c r="P442" s="5">
        <v>40096119.189999998</v>
      </c>
      <c r="Q442" s="5">
        <v>1940.67</v>
      </c>
      <c r="R442" s="5">
        <v>2074172.65</v>
      </c>
      <c r="S442" s="5">
        <v>6298744.7999999998</v>
      </c>
      <c r="T442" s="5">
        <v>78245.23</v>
      </c>
      <c r="U442" s="5">
        <v>10053.049999999999</v>
      </c>
      <c r="V442" s="5">
        <v>3235.41</v>
      </c>
      <c r="W442" s="5">
        <v>6345.77</v>
      </c>
      <c r="X442" s="5">
        <v>1806.4</v>
      </c>
      <c r="Y442" s="4">
        <v>3285712</v>
      </c>
    </row>
    <row r="443" spans="1:25" ht="16.05" customHeight="1" x14ac:dyDescent="0.3">
      <c r="A443" s="7">
        <v>2919</v>
      </c>
      <c r="B443" s="7">
        <v>42</v>
      </c>
      <c r="C443" s="7">
        <v>2023</v>
      </c>
      <c r="D443" s="8" t="s">
        <v>26</v>
      </c>
      <c r="E443" s="9">
        <v>2087</v>
      </c>
      <c r="F443" s="10">
        <v>97587109.109999999</v>
      </c>
      <c r="G443" s="10">
        <v>9017048.8800000008</v>
      </c>
      <c r="H443" s="11">
        <v>9.24</v>
      </c>
      <c r="I443" s="11">
        <v>11.89</v>
      </c>
      <c r="J443" s="10">
        <v>5184.3999999999996</v>
      </c>
      <c r="K443" s="10">
        <v>2702.87</v>
      </c>
      <c r="L443" s="10">
        <v>97570054.530000001</v>
      </c>
      <c r="M443" s="10">
        <v>97572271.730000004</v>
      </c>
      <c r="N443" s="10">
        <v>17054.580000000002</v>
      </c>
      <c r="O443" s="10">
        <v>97585580.099999994</v>
      </c>
      <c r="P443" s="10">
        <v>97576540.769999996</v>
      </c>
      <c r="Q443" s="10">
        <v>9039.33</v>
      </c>
      <c r="R443" s="10">
        <v>11603107.27</v>
      </c>
      <c r="S443" s="10">
        <v>-2586058.39</v>
      </c>
      <c r="T443" s="10">
        <v>15700.63</v>
      </c>
      <c r="U443" s="10">
        <v>43227.040000000001</v>
      </c>
      <c r="V443" s="10">
        <v>11749.76</v>
      </c>
      <c r="W443" s="10">
        <v>3775.81</v>
      </c>
      <c r="X443" s="10">
        <v>2830.92</v>
      </c>
      <c r="Y443" s="9">
        <v>3584241</v>
      </c>
    </row>
    <row r="444" spans="1:25" ht="16.05" customHeight="1" x14ac:dyDescent="0.3">
      <c r="A444" s="2">
        <v>2989</v>
      </c>
      <c r="B444" s="2">
        <v>43</v>
      </c>
      <c r="C444" s="2">
        <v>2023</v>
      </c>
      <c r="D444" s="3" t="s">
        <v>26</v>
      </c>
      <c r="E444" s="4">
        <v>2977</v>
      </c>
      <c r="F444" s="5">
        <v>21457477.449999999</v>
      </c>
      <c r="G444" s="5">
        <v>2092104.05</v>
      </c>
      <c r="H444" s="6">
        <v>9.75</v>
      </c>
      <c r="I444" s="6">
        <v>15.48</v>
      </c>
      <c r="J444" s="5">
        <v>6547.17</v>
      </c>
      <c r="K444" s="5">
        <v>11463.11</v>
      </c>
      <c r="L444" s="5">
        <v>21409671.57</v>
      </c>
      <c r="M444" s="5">
        <v>21431189.73</v>
      </c>
      <c r="N444" s="5">
        <v>47805.88</v>
      </c>
      <c r="O444" s="5">
        <v>21420509</v>
      </c>
      <c r="P444" s="5">
        <v>21409421.199999999</v>
      </c>
      <c r="Q444" s="5">
        <v>11087.8</v>
      </c>
      <c r="R444" s="5">
        <v>3321617.51</v>
      </c>
      <c r="S444" s="5">
        <v>-1229513.46</v>
      </c>
      <c r="T444" s="5">
        <v>112927.1</v>
      </c>
      <c r="U444" s="5">
        <v>46035.18</v>
      </c>
      <c r="V444" s="5">
        <v>5034.29</v>
      </c>
      <c r="W444" s="5">
        <v>5803.14</v>
      </c>
      <c r="X444" s="5">
        <v>2047.42</v>
      </c>
      <c r="Y444" s="4">
        <v>2439002</v>
      </c>
    </row>
    <row r="445" spans="1:25" ht="16.05" customHeight="1" x14ac:dyDescent="0.3">
      <c r="A445" s="7">
        <v>3059</v>
      </c>
      <c r="B445" s="7">
        <v>44</v>
      </c>
      <c r="C445" s="7">
        <v>2023</v>
      </c>
      <c r="D445" s="8" t="s">
        <v>26</v>
      </c>
      <c r="E445" s="9">
        <v>507</v>
      </c>
      <c r="F445" s="10">
        <v>22117954.969999999</v>
      </c>
      <c r="G445" s="10">
        <v>3956902.14</v>
      </c>
      <c r="H445" s="11">
        <v>17.89</v>
      </c>
      <c r="I445" s="11">
        <v>7.94</v>
      </c>
      <c r="J445" s="10">
        <v>7442.55</v>
      </c>
      <c r="K445" s="10">
        <v>5890.22</v>
      </c>
      <c r="L445" s="10">
        <v>22104574.960000001</v>
      </c>
      <c r="M445" s="10">
        <v>22107984.030000001</v>
      </c>
      <c r="N445" s="10">
        <v>13380.01</v>
      </c>
      <c r="O445" s="10">
        <v>22120096.260000002</v>
      </c>
      <c r="P445" s="10">
        <v>22106118.510000002</v>
      </c>
      <c r="Q445" s="10">
        <v>13977.75</v>
      </c>
      <c r="R445" s="10">
        <v>1756165.62</v>
      </c>
      <c r="S445" s="10">
        <v>2200736.52</v>
      </c>
      <c r="T445" s="10">
        <v>103661.48</v>
      </c>
      <c r="U445" s="10">
        <v>56674.83</v>
      </c>
      <c r="V445" s="10">
        <v>9375.25</v>
      </c>
      <c r="W445" s="10">
        <v>6146.05</v>
      </c>
      <c r="X445" s="10">
        <v>4959.37</v>
      </c>
      <c r="Y445" s="9">
        <v>4171038</v>
      </c>
    </row>
    <row r="446" spans="1:25" ht="16.05" customHeight="1" x14ac:dyDescent="0.3">
      <c r="A446" s="2">
        <v>3129</v>
      </c>
      <c r="B446" s="2">
        <v>45</v>
      </c>
      <c r="C446" s="2">
        <v>2023</v>
      </c>
      <c r="D446" s="3" t="s">
        <v>26</v>
      </c>
      <c r="E446" s="4">
        <v>3695</v>
      </c>
      <c r="F446" s="5">
        <v>123874011.8</v>
      </c>
      <c r="G446" s="5">
        <v>9042802.8599999994</v>
      </c>
      <c r="H446" s="6">
        <v>7.3</v>
      </c>
      <c r="I446" s="6">
        <v>14.07</v>
      </c>
      <c r="J446" s="5">
        <v>9336.15</v>
      </c>
      <c r="K446" s="5">
        <v>13778</v>
      </c>
      <c r="L446" s="5">
        <v>123823523.5</v>
      </c>
      <c r="M446" s="5">
        <v>123857256.8</v>
      </c>
      <c r="N446" s="5">
        <v>50488.32</v>
      </c>
      <c r="O446" s="5">
        <v>123838491.59999999</v>
      </c>
      <c r="P446" s="5">
        <v>123834561.09999999</v>
      </c>
      <c r="Q446" s="5">
        <v>3930.46</v>
      </c>
      <c r="R446" s="5">
        <v>17429073.460000001</v>
      </c>
      <c r="S446" s="5">
        <v>-8386270.5999999996</v>
      </c>
      <c r="T446" s="5">
        <v>58321.23</v>
      </c>
      <c r="U446" s="5">
        <v>56071.9</v>
      </c>
      <c r="V446" s="5">
        <v>8231.24</v>
      </c>
      <c r="W446" s="5">
        <v>6736.84</v>
      </c>
      <c r="X446" s="5">
        <v>4837.97</v>
      </c>
      <c r="Y446" s="4">
        <v>1676076</v>
      </c>
    </row>
    <row r="447" spans="1:25" ht="16.05" customHeight="1" x14ac:dyDescent="0.3">
      <c r="A447" s="7">
        <v>3199</v>
      </c>
      <c r="B447" s="7">
        <v>46</v>
      </c>
      <c r="C447" s="7">
        <v>2023</v>
      </c>
      <c r="D447" s="8" t="s">
        <v>26</v>
      </c>
      <c r="E447" s="9">
        <v>4876</v>
      </c>
      <c r="F447" s="10">
        <v>207788916.80000001</v>
      </c>
      <c r="G447" s="10">
        <v>42222707.890000001</v>
      </c>
      <c r="H447" s="11">
        <v>20.32</v>
      </c>
      <c r="I447" s="11">
        <v>12.78</v>
      </c>
      <c r="J447" s="10">
        <v>11115.19</v>
      </c>
      <c r="K447" s="10">
        <v>12069.67</v>
      </c>
      <c r="L447" s="10">
        <v>207730749.80000001</v>
      </c>
      <c r="M447" s="10">
        <v>207784998.30000001</v>
      </c>
      <c r="N447" s="10">
        <v>58166.98</v>
      </c>
      <c r="O447" s="10">
        <v>207742934.09999999</v>
      </c>
      <c r="P447" s="10">
        <v>207731306.90000001</v>
      </c>
      <c r="Q447" s="10">
        <v>11627.26</v>
      </c>
      <c r="R447" s="10">
        <v>26555423.57</v>
      </c>
      <c r="S447" s="10">
        <v>15667284.33</v>
      </c>
      <c r="T447" s="10">
        <v>40404.83</v>
      </c>
      <c r="U447" s="10">
        <v>36600.03</v>
      </c>
      <c r="V447" s="10">
        <v>11652.39</v>
      </c>
      <c r="W447" s="10">
        <v>531.95000000000005</v>
      </c>
      <c r="X447" s="10">
        <v>2441.67</v>
      </c>
      <c r="Y447" s="9">
        <v>1069025</v>
      </c>
    </row>
    <row r="448" spans="1:25" ht="16.05" customHeight="1" x14ac:dyDescent="0.3">
      <c r="A448" s="2">
        <v>3269</v>
      </c>
      <c r="B448" s="2">
        <v>47</v>
      </c>
      <c r="C448" s="2">
        <v>2023</v>
      </c>
      <c r="D448" s="3" t="s">
        <v>26</v>
      </c>
      <c r="E448" s="4">
        <v>780</v>
      </c>
      <c r="F448" s="5">
        <v>20898824.98</v>
      </c>
      <c r="G448" s="5">
        <v>3970776.75</v>
      </c>
      <c r="H448" s="6">
        <v>19</v>
      </c>
      <c r="I448" s="6">
        <v>9.41</v>
      </c>
      <c r="J448" s="5">
        <v>7911.59</v>
      </c>
      <c r="K448" s="5">
        <v>3048.16</v>
      </c>
      <c r="L448" s="5">
        <v>20834418.719999999</v>
      </c>
      <c r="M448" s="5">
        <v>20877383.309999999</v>
      </c>
      <c r="N448" s="5">
        <v>64406.26</v>
      </c>
      <c r="O448" s="5">
        <v>20846466.190000001</v>
      </c>
      <c r="P448" s="5">
        <v>20842122.379999999</v>
      </c>
      <c r="Q448" s="5">
        <v>4343.8100000000004</v>
      </c>
      <c r="R448" s="5">
        <v>1966579.43</v>
      </c>
      <c r="S448" s="5">
        <v>2004197.32</v>
      </c>
      <c r="T448" s="5">
        <v>117900.18</v>
      </c>
      <c r="U448" s="5">
        <v>52399.26</v>
      </c>
      <c r="V448" s="5">
        <v>9773.99</v>
      </c>
      <c r="W448" s="5">
        <v>2273.48</v>
      </c>
      <c r="X448" s="5">
        <v>2495.23</v>
      </c>
      <c r="Y448" s="4">
        <v>3928653</v>
      </c>
    </row>
    <row r="449" spans="1:25" ht="16.05" customHeight="1" x14ac:dyDescent="0.3">
      <c r="A449" s="7">
        <v>3339</v>
      </c>
      <c r="B449" s="7">
        <v>48</v>
      </c>
      <c r="C449" s="7">
        <v>2023</v>
      </c>
      <c r="D449" s="8" t="s">
        <v>26</v>
      </c>
      <c r="E449" s="9">
        <v>2691</v>
      </c>
      <c r="F449" s="10">
        <v>142029608.5</v>
      </c>
      <c r="G449" s="10">
        <v>12228749.300000001</v>
      </c>
      <c r="H449" s="11">
        <v>8.61</v>
      </c>
      <c r="I449" s="11">
        <v>15.73</v>
      </c>
      <c r="J449" s="10">
        <v>1027.8499999999999</v>
      </c>
      <c r="K449" s="10">
        <v>19993.73</v>
      </c>
      <c r="L449" s="10">
        <v>141961668.09999999</v>
      </c>
      <c r="M449" s="10">
        <v>142012313.59999999</v>
      </c>
      <c r="N449" s="10">
        <v>67940.490000000005</v>
      </c>
      <c r="O449" s="10">
        <v>141978008.5</v>
      </c>
      <c r="P449" s="10">
        <v>141966766.5</v>
      </c>
      <c r="Q449" s="10">
        <v>11242.05</v>
      </c>
      <c r="R449" s="10">
        <v>22341257.420000002</v>
      </c>
      <c r="S449" s="10">
        <v>-10112508.130000001</v>
      </c>
      <c r="T449" s="10">
        <v>46518.95</v>
      </c>
      <c r="U449" s="10">
        <v>40891.53</v>
      </c>
      <c r="V449" s="10">
        <v>9700.76</v>
      </c>
      <c r="W449" s="10">
        <v>6639.72</v>
      </c>
      <c r="X449" s="10">
        <v>2029.22</v>
      </c>
      <c r="Y449" s="9">
        <v>2986044</v>
      </c>
    </row>
    <row r="450" spans="1:25" ht="16.05" customHeight="1" x14ac:dyDescent="0.3">
      <c r="A450" s="2">
        <v>3409</v>
      </c>
      <c r="B450" s="2">
        <v>49</v>
      </c>
      <c r="C450" s="2">
        <v>2023</v>
      </c>
      <c r="D450" s="3" t="s">
        <v>26</v>
      </c>
      <c r="E450" s="4">
        <v>4413</v>
      </c>
      <c r="F450" s="5">
        <v>150452067.30000001</v>
      </c>
      <c r="G450" s="5">
        <v>45045348.939999998</v>
      </c>
      <c r="H450" s="6">
        <v>29.94</v>
      </c>
      <c r="I450" s="6">
        <v>16.170000000000002</v>
      </c>
      <c r="J450" s="5">
        <v>14544.14</v>
      </c>
      <c r="K450" s="5">
        <v>2850.85</v>
      </c>
      <c r="L450" s="5">
        <v>150401318.30000001</v>
      </c>
      <c r="M450" s="5">
        <v>150446271.19999999</v>
      </c>
      <c r="N450" s="5">
        <v>50748.99</v>
      </c>
      <c r="O450" s="5">
        <v>150414215.19999999</v>
      </c>
      <c r="P450" s="5">
        <v>150409219.40000001</v>
      </c>
      <c r="Q450" s="5">
        <v>4995.74</v>
      </c>
      <c r="R450" s="5">
        <v>24328099.280000001</v>
      </c>
      <c r="S450" s="5">
        <v>20717249.66</v>
      </c>
      <c r="T450" s="5">
        <v>61733.96</v>
      </c>
      <c r="U450" s="5">
        <v>55527.63</v>
      </c>
      <c r="V450" s="5">
        <v>11880.39</v>
      </c>
      <c r="W450" s="5">
        <v>1016.51</v>
      </c>
      <c r="X450" s="5">
        <v>4558.51</v>
      </c>
      <c r="Y450" s="4">
        <v>3651311</v>
      </c>
    </row>
    <row r="451" spans="1:25" ht="16.05" customHeight="1" x14ac:dyDescent="0.3">
      <c r="A451" s="7">
        <v>3479</v>
      </c>
      <c r="B451" s="7">
        <v>50</v>
      </c>
      <c r="C451" s="7">
        <v>2023</v>
      </c>
      <c r="D451" s="8" t="s">
        <v>26</v>
      </c>
      <c r="E451" s="9">
        <v>4718</v>
      </c>
      <c r="F451" s="10">
        <v>167937222.5</v>
      </c>
      <c r="G451" s="10">
        <v>14173901.58</v>
      </c>
      <c r="H451" s="11">
        <v>8.44</v>
      </c>
      <c r="I451" s="11">
        <v>11.91</v>
      </c>
      <c r="J451" s="10">
        <v>1547.87</v>
      </c>
      <c r="K451" s="10">
        <v>8922.2800000000007</v>
      </c>
      <c r="L451" s="10">
        <v>167846643.30000001</v>
      </c>
      <c r="M451" s="10">
        <v>167920432.90000001</v>
      </c>
      <c r="N451" s="10">
        <v>90579.199999999997</v>
      </c>
      <c r="O451" s="10">
        <v>167852748.40000001</v>
      </c>
      <c r="P451" s="10">
        <v>167846614.19999999</v>
      </c>
      <c r="Q451" s="10">
        <v>6134.24</v>
      </c>
      <c r="R451" s="10">
        <v>20001323.199999999</v>
      </c>
      <c r="S451" s="10">
        <v>-5827421.6200000001</v>
      </c>
      <c r="T451" s="10">
        <v>84599.31</v>
      </c>
      <c r="U451" s="10">
        <v>45227.93</v>
      </c>
      <c r="V451" s="10">
        <v>2985.16</v>
      </c>
      <c r="W451" s="10">
        <v>3119.98</v>
      </c>
      <c r="X451" s="10">
        <v>1904.88</v>
      </c>
      <c r="Y451" s="9">
        <v>4108695</v>
      </c>
    </row>
    <row r="452" spans="1:25" ht="16.05" customHeight="1" x14ac:dyDescent="0.3">
      <c r="A452" s="2">
        <v>39</v>
      </c>
      <c r="B452" s="2">
        <v>1</v>
      </c>
      <c r="C452" s="2">
        <v>2023</v>
      </c>
      <c r="D452" s="3" t="s">
        <v>27</v>
      </c>
      <c r="E452" s="4">
        <v>1996</v>
      </c>
      <c r="F452" s="5">
        <v>122809791.5</v>
      </c>
      <c r="G452" s="5">
        <v>12489755.800000001</v>
      </c>
      <c r="H452" s="6">
        <v>10.17</v>
      </c>
      <c r="I452" s="6">
        <v>10.06</v>
      </c>
      <c r="J452" s="5">
        <v>11116.36</v>
      </c>
      <c r="K452" s="5">
        <v>7464.7</v>
      </c>
      <c r="L452" s="5">
        <v>122774245.40000001</v>
      </c>
      <c r="M452" s="5">
        <v>122791387.59999999</v>
      </c>
      <c r="N452" s="5">
        <v>35546.19</v>
      </c>
      <c r="O452" s="5">
        <v>122786864.7</v>
      </c>
      <c r="P452" s="5">
        <v>122778674.5</v>
      </c>
      <c r="Q452" s="5">
        <v>8190.19</v>
      </c>
      <c r="R452" s="5">
        <v>12354665.029999999</v>
      </c>
      <c r="S452" s="5">
        <v>135090.76999999999</v>
      </c>
      <c r="T452" s="5">
        <v>65576.03</v>
      </c>
      <c r="U452" s="5">
        <v>11885.76</v>
      </c>
      <c r="V452" s="5">
        <v>10188.92</v>
      </c>
      <c r="W452" s="5">
        <v>2430.4</v>
      </c>
      <c r="X452" s="5">
        <v>1026.1600000000001</v>
      </c>
      <c r="Y452" s="4">
        <v>2694992</v>
      </c>
    </row>
    <row r="453" spans="1:25" ht="16.05" customHeight="1" x14ac:dyDescent="0.3">
      <c r="A453" s="7">
        <v>109</v>
      </c>
      <c r="B453" s="7">
        <v>2</v>
      </c>
      <c r="C453" s="7">
        <v>2023</v>
      </c>
      <c r="D453" s="8" t="s">
        <v>27</v>
      </c>
      <c r="E453" s="9">
        <v>3193</v>
      </c>
      <c r="F453" s="10">
        <v>208330120.59999999</v>
      </c>
      <c r="G453" s="10">
        <v>40936868.710000001</v>
      </c>
      <c r="H453" s="11">
        <v>19.649999999999999</v>
      </c>
      <c r="I453" s="11">
        <v>11</v>
      </c>
      <c r="J453" s="10">
        <v>2366.46</v>
      </c>
      <c r="K453" s="10">
        <v>9728.82</v>
      </c>
      <c r="L453" s="10">
        <v>208275378.40000001</v>
      </c>
      <c r="M453" s="10">
        <v>208321951.19999999</v>
      </c>
      <c r="N453" s="10">
        <v>54742.21</v>
      </c>
      <c r="O453" s="10">
        <v>208284042.09999999</v>
      </c>
      <c r="P453" s="10">
        <v>208271496.19999999</v>
      </c>
      <c r="Q453" s="10">
        <v>12545.9</v>
      </c>
      <c r="R453" s="10">
        <v>22916313.27</v>
      </c>
      <c r="S453" s="10">
        <v>18020555.440000001</v>
      </c>
      <c r="T453" s="10">
        <v>94468.06</v>
      </c>
      <c r="U453" s="10">
        <v>5518.49</v>
      </c>
      <c r="V453" s="10">
        <v>5748.96</v>
      </c>
      <c r="W453" s="10">
        <v>2914.7</v>
      </c>
      <c r="X453" s="10">
        <v>1196.47</v>
      </c>
      <c r="Y453" s="9">
        <v>4996813</v>
      </c>
    </row>
    <row r="454" spans="1:25" ht="16.05" customHeight="1" x14ac:dyDescent="0.3">
      <c r="A454" s="2">
        <v>179</v>
      </c>
      <c r="B454" s="2">
        <v>3</v>
      </c>
      <c r="C454" s="2">
        <v>2023</v>
      </c>
      <c r="D454" s="3" t="s">
        <v>27</v>
      </c>
      <c r="E454" s="4">
        <v>4018</v>
      </c>
      <c r="F454" s="5">
        <v>37990759.950000003</v>
      </c>
      <c r="G454" s="5">
        <v>9801616.0700000003</v>
      </c>
      <c r="H454" s="6">
        <v>25.8</v>
      </c>
      <c r="I454" s="6">
        <v>8.49</v>
      </c>
      <c r="J454" s="5">
        <v>11171.46</v>
      </c>
      <c r="K454" s="5">
        <v>4784.53</v>
      </c>
      <c r="L454" s="5">
        <v>37977890.859999999</v>
      </c>
      <c r="M454" s="5">
        <v>37979391.109999999</v>
      </c>
      <c r="N454" s="5">
        <v>12869.09</v>
      </c>
      <c r="O454" s="5">
        <v>37983034.289999999</v>
      </c>
      <c r="P454" s="5">
        <v>37968803.68</v>
      </c>
      <c r="Q454" s="5">
        <v>14230.61</v>
      </c>
      <c r="R454" s="5">
        <v>3225415.52</v>
      </c>
      <c r="S454" s="5">
        <v>6576200.5499999998</v>
      </c>
      <c r="T454" s="5">
        <v>12556.18</v>
      </c>
      <c r="U454" s="5">
        <v>25685.22</v>
      </c>
      <c r="V454" s="5">
        <v>3729.98</v>
      </c>
      <c r="W454" s="5">
        <v>1413.45</v>
      </c>
      <c r="X454" s="5">
        <v>4698.8</v>
      </c>
      <c r="Y454" s="4">
        <v>4399884</v>
      </c>
    </row>
    <row r="455" spans="1:25" ht="16.05" customHeight="1" x14ac:dyDescent="0.3">
      <c r="A455" s="7">
        <v>249</v>
      </c>
      <c r="B455" s="7">
        <v>4</v>
      </c>
      <c r="C455" s="7">
        <v>2023</v>
      </c>
      <c r="D455" s="8" t="s">
        <v>27</v>
      </c>
      <c r="E455" s="9">
        <v>5296</v>
      </c>
      <c r="F455" s="10">
        <v>319683709.80000001</v>
      </c>
      <c r="G455" s="10">
        <v>42453996.659999996</v>
      </c>
      <c r="H455" s="11">
        <v>13.28</v>
      </c>
      <c r="I455" s="11">
        <v>6.88</v>
      </c>
      <c r="J455" s="10">
        <v>1585.82</v>
      </c>
      <c r="K455" s="10">
        <v>14953.25</v>
      </c>
      <c r="L455" s="10">
        <v>319596851</v>
      </c>
      <c r="M455" s="10">
        <v>319677450.19999999</v>
      </c>
      <c r="N455" s="10">
        <v>86858.76</v>
      </c>
      <c r="O455" s="10">
        <v>319607272.69999999</v>
      </c>
      <c r="P455" s="10">
        <v>319596414.80000001</v>
      </c>
      <c r="Q455" s="10">
        <v>10857.94</v>
      </c>
      <c r="R455" s="10">
        <v>21994239.23</v>
      </c>
      <c r="S455" s="10">
        <v>20459757.43</v>
      </c>
      <c r="T455" s="10">
        <v>118198.75</v>
      </c>
      <c r="U455" s="10">
        <v>26674.240000000002</v>
      </c>
      <c r="V455" s="10">
        <v>7130.59</v>
      </c>
      <c r="W455" s="10">
        <v>3291.08</v>
      </c>
      <c r="X455" s="10">
        <v>4053.93</v>
      </c>
      <c r="Y455" s="9">
        <v>4089608</v>
      </c>
    </row>
    <row r="456" spans="1:25" ht="16.05" customHeight="1" x14ac:dyDescent="0.3">
      <c r="A456" s="2">
        <v>319</v>
      </c>
      <c r="B456" s="2">
        <v>5</v>
      </c>
      <c r="C456" s="2">
        <v>2023</v>
      </c>
      <c r="D456" s="3" t="s">
        <v>27</v>
      </c>
      <c r="E456" s="4">
        <v>747</v>
      </c>
      <c r="F456" s="5">
        <v>27432470.969999999</v>
      </c>
      <c r="G456" s="5">
        <v>4600425.38</v>
      </c>
      <c r="H456" s="6">
        <v>16.77</v>
      </c>
      <c r="I456" s="6">
        <v>15.92</v>
      </c>
      <c r="J456" s="5">
        <v>7419.56</v>
      </c>
      <c r="K456" s="5">
        <v>14916.7</v>
      </c>
      <c r="L456" s="5">
        <v>27421661.539999999</v>
      </c>
      <c r="M456" s="5">
        <v>27423667.280000001</v>
      </c>
      <c r="N456" s="5">
        <v>10809.43</v>
      </c>
      <c r="O456" s="5">
        <v>27427255.260000002</v>
      </c>
      <c r="P456" s="5">
        <v>27415770.899999999</v>
      </c>
      <c r="Q456" s="5">
        <v>11484.36</v>
      </c>
      <c r="R456" s="5">
        <v>4367249.38</v>
      </c>
      <c r="S456" s="5">
        <v>233176</v>
      </c>
      <c r="T456" s="5">
        <v>84496.13</v>
      </c>
      <c r="U456" s="5">
        <v>14490.57</v>
      </c>
      <c r="V456" s="5">
        <v>4424.63</v>
      </c>
      <c r="W456" s="5">
        <v>1169.0899999999999</v>
      </c>
      <c r="X456" s="5">
        <v>1707.1</v>
      </c>
      <c r="Y456" s="4">
        <v>2146953</v>
      </c>
    </row>
    <row r="457" spans="1:25" ht="16.05" customHeight="1" x14ac:dyDescent="0.3">
      <c r="A457" s="7">
        <v>389</v>
      </c>
      <c r="B457" s="7">
        <v>6</v>
      </c>
      <c r="C457" s="7">
        <v>2023</v>
      </c>
      <c r="D457" s="8" t="s">
        <v>27</v>
      </c>
      <c r="E457" s="9">
        <v>1612</v>
      </c>
      <c r="F457" s="10">
        <v>92549600.989999995</v>
      </c>
      <c r="G457" s="10">
        <v>22859751.440000001</v>
      </c>
      <c r="H457" s="11">
        <v>24.7</v>
      </c>
      <c r="I457" s="11">
        <v>19.420000000000002</v>
      </c>
      <c r="J457" s="10">
        <v>7309.9</v>
      </c>
      <c r="K457" s="10">
        <v>15960.61</v>
      </c>
      <c r="L457" s="10">
        <v>92471079.010000005</v>
      </c>
      <c r="M457" s="10">
        <v>92524673.010000005</v>
      </c>
      <c r="N457" s="10">
        <v>78521.98</v>
      </c>
      <c r="O457" s="10">
        <v>92481697.469999999</v>
      </c>
      <c r="P457" s="10">
        <v>92472574.989999995</v>
      </c>
      <c r="Q457" s="10">
        <v>9122.48</v>
      </c>
      <c r="R457" s="10">
        <v>17973132.510000002</v>
      </c>
      <c r="S457" s="10">
        <v>4886618.93</v>
      </c>
      <c r="T457" s="10">
        <v>13517.72</v>
      </c>
      <c r="U457" s="10">
        <v>33077</v>
      </c>
      <c r="V457" s="10">
        <v>2805.68</v>
      </c>
      <c r="W457" s="10">
        <v>7812.78</v>
      </c>
      <c r="X457" s="10">
        <v>4522.3999999999996</v>
      </c>
      <c r="Y457" s="9">
        <v>3748904</v>
      </c>
    </row>
    <row r="458" spans="1:25" ht="16.05" customHeight="1" x14ac:dyDescent="0.3">
      <c r="A458" s="2">
        <v>459</v>
      </c>
      <c r="B458" s="2">
        <v>7</v>
      </c>
      <c r="C458" s="2">
        <v>2023</v>
      </c>
      <c r="D458" s="3" t="s">
        <v>27</v>
      </c>
      <c r="E458" s="4">
        <v>4836</v>
      </c>
      <c r="F458" s="5">
        <v>240064197.40000001</v>
      </c>
      <c r="G458" s="5">
        <v>30320108.140000001</v>
      </c>
      <c r="H458" s="6">
        <v>12.63</v>
      </c>
      <c r="I458" s="6">
        <v>19.3</v>
      </c>
      <c r="J458" s="5">
        <v>5169.2299999999996</v>
      </c>
      <c r="K458" s="5">
        <v>10612.95</v>
      </c>
      <c r="L458" s="5">
        <v>239999670.5</v>
      </c>
      <c r="M458" s="5">
        <v>240059624.40000001</v>
      </c>
      <c r="N458" s="5">
        <v>64526.9</v>
      </c>
      <c r="O458" s="5">
        <v>240012640.69999999</v>
      </c>
      <c r="P458" s="5">
        <v>240003160.19999999</v>
      </c>
      <c r="Q458" s="5">
        <v>9480.5499999999993</v>
      </c>
      <c r="R458" s="5">
        <v>46332390.100000001</v>
      </c>
      <c r="S458" s="5">
        <v>-16012281.970000001</v>
      </c>
      <c r="T458" s="5">
        <v>14542.44</v>
      </c>
      <c r="U458" s="5">
        <v>6826.79</v>
      </c>
      <c r="V458" s="5">
        <v>10238.93</v>
      </c>
      <c r="W458" s="5">
        <v>2731.25</v>
      </c>
      <c r="X458" s="5">
        <v>2160.7199999999998</v>
      </c>
      <c r="Y458" s="4">
        <v>1139160</v>
      </c>
    </row>
    <row r="459" spans="1:25" ht="16.05" customHeight="1" x14ac:dyDescent="0.3">
      <c r="A459" s="7">
        <v>529</v>
      </c>
      <c r="B459" s="7">
        <v>8</v>
      </c>
      <c r="C459" s="7">
        <v>2023</v>
      </c>
      <c r="D459" s="8" t="s">
        <v>27</v>
      </c>
      <c r="E459" s="9">
        <v>518</v>
      </c>
      <c r="F459" s="10">
        <v>31289818.73</v>
      </c>
      <c r="G459" s="10">
        <v>1614554.65</v>
      </c>
      <c r="H459" s="11">
        <v>5.16</v>
      </c>
      <c r="I459" s="11">
        <v>17.68</v>
      </c>
      <c r="J459" s="10">
        <v>10390.84</v>
      </c>
      <c r="K459" s="10">
        <v>15717.84</v>
      </c>
      <c r="L459" s="10">
        <v>31203962.530000001</v>
      </c>
      <c r="M459" s="10">
        <v>31266881.629999999</v>
      </c>
      <c r="N459" s="10">
        <v>85856.2</v>
      </c>
      <c r="O459" s="10">
        <v>31218322.550000001</v>
      </c>
      <c r="P459" s="10">
        <v>31206069.370000001</v>
      </c>
      <c r="Q459" s="10">
        <v>12253.18</v>
      </c>
      <c r="R459" s="10">
        <v>5532039.9500000002</v>
      </c>
      <c r="S459" s="10">
        <v>-3917485.31</v>
      </c>
      <c r="T459" s="10">
        <v>45636.19</v>
      </c>
      <c r="U459" s="10">
        <v>27674.11</v>
      </c>
      <c r="V459" s="10">
        <v>10518.92</v>
      </c>
      <c r="W459" s="10">
        <v>3841.1</v>
      </c>
      <c r="X459" s="10">
        <v>4067.89</v>
      </c>
      <c r="Y459" s="9">
        <v>4934624</v>
      </c>
    </row>
    <row r="460" spans="1:25" ht="16.05" customHeight="1" x14ac:dyDescent="0.3">
      <c r="A460" s="2">
        <v>599</v>
      </c>
      <c r="B460" s="2">
        <v>9</v>
      </c>
      <c r="C460" s="2">
        <v>2023</v>
      </c>
      <c r="D460" s="3" t="s">
        <v>27</v>
      </c>
      <c r="E460" s="4">
        <v>6298</v>
      </c>
      <c r="F460" s="5">
        <v>351441943.5</v>
      </c>
      <c r="G460" s="5">
        <v>46882355.259999998</v>
      </c>
      <c r="H460" s="6">
        <v>13.34</v>
      </c>
      <c r="I460" s="6">
        <v>15.42</v>
      </c>
      <c r="J460" s="5">
        <v>1129.73</v>
      </c>
      <c r="K460" s="5">
        <v>18725.84</v>
      </c>
      <c r="L460" s="5">
        <v>351427651</v>
      </c>
      <c r="M460" s="5">
        <v>351431904.69999999</v>
      </c>
      <c r="N460" s="5">
        <v>14292.43</v>
      </c>
      <c r="O460" s="5">
        <v>351439575.39999998</v>
      </c>
      <c r="P460" s="5">
        <v>351425644.89999998</v>
      </c>
      <c r="Q460" s="5">
        <v>13930.53</v>
      </c>
      <c r="R460" s="5">
        <v>54192347.68</v>
      </c>
      <c r="S460" s="5">
        <v>-7309992.4199999999</v>
      </c>
      <c r="T460" s="5">
        <v>94781.54</v>
      </c>
      <c r="U460" s="5">
        <v>5922.66</v>
      </c>
      <c r="V460" s="5">
        <v>11007.85</v>
      </c>
      <c r="W460" s="5">
        <v>916.51</v>
      </c>
      <c r="X460" s="5">
        <v>2026.99</v>
      </c>
      <c r="Y460" s="4">
        <v>1946883</v>
      </c>
    </row>
    <row r="461" spans="1:25" ht="16.05" customHeight="1" x14ac:dyDescent="0.3">
      <c r="A461" s="7">
        <v>669</v>
      </c>
      <c r="B461" s="7">
        <v>10</v>
      </c>
      <c r="C461" s="7">
        <v>2023</v>
      </c>
      <c r="D461" s="8" t="s">
        <v>27</v>
      </c>
      <c r="E461" s="9">
        <v>155</v>
      </c>
      <c r="F461" s="10">
        <v>4439084.62</v>
      </c>
      <c r="G461" s="10">
        <v>704926.64</v>
      </c>
      <c r="H461" s="11">
        <v>15.88</v>
      </c>
      <c r="I461" s="11">
        <v>10.75</v>
      </c>
      <c r="J461" s="10">
        <v>13184.32</v>
      </c>
      <c r="K461" s="10">
        <v>19150.669999999998</v>
      </c>
      <c r="L461" s="10">
        <v>4364961.22</v>
      </c>
      <c r="M461" s="10">
        <v>4433887.1399999997</v>
      </c>
      <c r="N461" s="10">
        <v>74123.39</v>
      </c>
      <c r="O461" s="10">
        <v>4375278.3899999997</v>
      </c>
      <c r="P461" s="10">
        <v>4363334.26</v>
      </c>
      <c r="Q461" s="10">
        <v>11944.13</v>
      </c>
      <c r="R461" s="10">
        <v>477201.6</v>
      </c>
      <c r="S461" s="10">
        <v>227725.04</v>
      </c>
      <c r="T461" s="10">
        <v>109519.03999999999</v>
      </c>
      <c r="U461" s="10">
        <v>48335.77</v>
      </c>
      <c r="V461" s="10">
        <v>6381.87</v>
      </c>
      <c r="W461" s="10">
        <v>3935.3</v>
      </c>
      <c r="X461" s="10">
        <v>4915.71</v>
      </c>
      <c r="Y461" s="9">
        <v>3443863</v>
      </c>
    </row>
    <row r="462" spans="1:25" ht="16.05" customHeight="1" x14ac:dyDescent="0.3">
      <c r="A462" s="2">
        <v>739</v>
      </c>
      <c r="B462" s="2">
        <v>11</v>
      </c>
      <c r="C462" s="2">
        <v>2023</v>
      </c>
      <c r="D462" s="3" t="s">
        <v>27</v>
      </c>
      <c r="E462" s="4">
        <v>1913</v>
      </c>
      <c r="F462" s="5">
        <v>129797422</v>
      </c>
      <c r="G462" s="5">
        <v>36615852.740000002</v>
      </c>
      <c r="H462" s="6">
        <v>28.21</v>
      </c>
      <c r="I462" s="6">
        <v>18.690000000000001</v>
      </c>
      <c r="J462" s="5">
        <v>2028.01</v>
      </c>
      <c r="K462" s="5">
        <v>17068.400000000001</v>
      </c>
      <c r="L462" s="5">
        <v>129702961.59999999</v>
      </c>
      <c r="M462" s="5">
        <v>129780396.40000001</v>
      </c>
      <c r="N462" s="5">
        <v>94460.35</v>
      </c>
      <c r="O462" s="5">
        <v>129712617</v>
      </c>
      <c r="P462" s="5">
        <v>129698791.7</v>
      </c>
      <c r="Q462" s="5">
        <v>13825.33</v>
      </c>
      <c r="R462" s="5">
        <v>24259138.170000002</v>
      </c>
      <c r="S462" s="5">
        <v>12356714.57</v>
      </c>
      <c r="T462" s="5">
        <v>28021.99</v>
      </c>
      <c r="U462" s="5">
        <v>53130.37</v>
      </c>
      <c r="V462" s="5">
        <v>4176.87</v>
      </c>
      <c r="W462" s="5">
        <v>5478.52</v>
      </c>
      <c r="X462" s="5">
        <v>1720.31</v>
      </c>
      <c r="Y462" s="4">
        <v>4230128</v>
      </c>
    </row>
    <row r="463" spans="1:25" ht="16.05" customHeight="1" x14ac:dyDescent="0.3">
      <c r="A463" s="7">
        <v>809</v>
      </c>
      <c r="B463" s="7">
        <v>12</v>
      </c>
      <c r="C463" s="7">
        <v>2023</v>
      </c>
      <c r="D463" s="8" t="s">
        <v>27</v>
      </c>
      <c r="E463" s="9">
        <v>2151</v>
      </c>
      <c r="F463" s="10">
        <v>144272811.30000001</v>
      </c>
      <c r="G463" s="10">
        <v>27238706.780000001</v>
      </c>
      <c r="H463" s="11">
        <v>18.88</v>
      </c>
      <c r="I463" s="11">
        <v>7.38</v>
      </c>
      <c r="J463" s="10">
        <v>13231.99</v>
      </c>
      <c r="K463" s="10">
        <v>9475.9</v>
      </c>
      <c r="L463" s="10">
        <v>144196150.59999999</v>
      </c>
      <c r="M463" s="10">
        <v>144267023.69999999</v>
      </c>
      <c r="N463" s="10">
        <v>76660.759999999995</v>
      </c>
      <c r="O463" s="10">
        <v>144213350.90000001</v>
      </c>
      <c r="P463" s="10">
        <v>144206882.19999999</v>
      </c>
      <c r="Q463" s="10">
        <v>6468.7</v>
      </c>
      <c r="R463" s="10">
        <v>10647333.48</v>
      </c>
      <c r="S463" s="10">
        <v>16591373.300000001</v>
      </c>
      <c r="T463" s="10">
        <v>66582.87</v>
      </c>
      <c r="U463" s="10">
        <v>27713.89</v>
      </c>
      <c r="V463" s="10">
        <v>10010.959999999999</v>
      </c>
      <c r="W463" s="10">
        <v>7189.35</v>
      </c>
      <c r="X463" s="10">
        <v>1667.4</v>
      </c>
      <c r="Y463" s="9">
        <v>2588348</v>
      </c>
    </row>
    <row r="464" spans="1:25" ht="16.05" customHeight="1" x14ac:dyDescent="0.3">
      <c r="A464" s="2">
        <v>879</v>
      </c>
      <c r="B464" s="2">
        <v>13</v>
      </c>
      <c r="C464" s="2">
        <v>2023</v>
      </c>
      <c r="D464" s="3" t="s">
        <v>27</v>
      </c>
      <c r="E464" s="4">
        <v>3294</v>
      </c>
      <c r="F464" s="5">
        <v>153671312.19999999</v>
      </c>
      <c r="G464" s="5">
        <v>15105889.98</v>
      </c>
      <c r="H464" s="6">
        <v>9.83</v>
      </c>
      <c r="I464" s="6">
        <v>17.829999999999998</v>
      </c>
      <c r="J464" s="5">
        <v>3587.34</v>
      </c>
      <c r="K464" s="5">
        <v>16125.1</v>
      </c>
      <c r="L464" s="5">
        <v>153634394.80000001</v>
      </c>
      <c r="M464" s="5">
        <v>153657788.80000001</v>
      </c>
      <c r="N464" s="5">
        <v>36917.4</v>
      </c>
      <c r="O464" s="5">
        <v>153640074.09999999</v>
      </c>
      <c r="P464" s="5">
        <v>153637198.19999999</v>
      </c>
      <c r="Q464" s="5">
        <v>2875.94</v>
      </c>
      <c r="R464" s="5">
        <v>27399594.960000001</v>
      </c>
      <c r="S464" s="5">
        <v>-12293704.970000001</v>
      </c>
      <c r="T464" s="5">
        <v>97098.78</v>
      </c>
      <c r="U464" s="5">
        <v>53587.45</v>
      </c>
      <c r="V464" s="5">
        <v>3305.33</v>
      </c>
      <c r="W464" s="5">
        <v>2374.04</v>
      </c>
      <c r="X464" s="5">
        <v>2971.71</v>
      </c>
      <c r="Y464" s="4">
        <v>4079756</v>
      </c>
    </row>
    <row r="465" spans="1:25" ht="16.05" customHeight="1" x14ac:dyDescent="0.3">
      <c r="A465" s="7">
        <v>949</v>
      </c>
      <c r="B465" s="7">
        <v>14</v>
      </c>
      <c r="C465" s="7">
        <v>2023</v>
      </c>
      <c r="D465" s="8" t="s">
        <v>27</v>
      </c>
      <c r="E465" s="9">
        <v>1381</v>
      </c>
      <c r="F465" s="10">
        <v>57721149.579999998</v>
      </c>
      <c r="G465" s="10">
        <v>6626387.9699999997</v>
      </c>
      <c r="H465" s="11">
        <v>11.48</v>
      </c>
      <c r="I465" s="11">
        <v>15.48</v>
      </c>
      <c r="J465" s="10">
        <v>4496.09</v>
      </c>
      <c r="K465" s="10">
        <v>5606.68</v>
      </c>
      <c r="L465" s="10">
        <v>57708756.149999999</v>
      </c>
      <c r="M465" s="10">
        <v>57703108.43</v>
      </c>
      <c r="N465" s="10">
        <v>12393.43</v>
      </c>
      <c r="O465" s="10">
        <v>57722308.460000001</v>
      </c>
      <c r="P465" s="10">
        <v>57714610.659999996</v>
      </c>
      <c r="Q465" s="10">
        <v>7697.8</v>
      </c>
      <c r="R465" s="10">
        <v>8935233.9600000009</v>
      </c>
      <c r="S465" s="10">
        <v>-2308845.98</v>
      </c>
      <c r="T465" s="10">
        <v>62729.59</v>
      </c>
      <c r="U465" s="10">
        <v>10629.95</v>
      </c>
      <c r="V465" s="10">
        <v>6682.08</v>
      </c>
      <c r="W465" s="10">
        <v>6870.23</v>
      </c>
      <c r="X465" s="10">
        <v>4993.09</v>
      </c>
      <c r="Y465" s="9">
        <v>4220016</v>
      </c>
    </row>
    <row r="466" spans="1:25" ht="16.05" customHeight="1" x14ac:dyDescent="0.3">
      <c r="A466" s="2">
        <v>1019</v>
      </c>
      <c r="B466" s="2">
        <v>15</v>
      </c>
      <c r="C466" s="2">
        <v>2023</v>
      </c>
      <c r="D466" s="3" t="s">
        <v>27</v>
      </c>
      <c r="E466" s="4">
        <v>3056</v>
      </c>
      <c r="F466" s="5">
        <v>40558939.68</v>
      </c>
      <c r="G466" s="5">
        <v>6566492.3300000001</v>
      </c>
      <c r="H466" s="6">
        <v>16.190000000000001</v>
      </c>
      <c r="I466" s="6">
        <v>7.53</v>
      </c>
      <c r="J466" s="5">
        <v>6509.45</v>
      </c>
      <c r="K466" s="5">
        <v>14082.76</v>
      </c>
      <c r="L466" s="5">
        <v>40536582.039999999</v>
      </c>
      <c r="M466" s="5">
        <v>40533337.619999997</v>
      </c>
      <c r="N466" s="5">
        <v>22357.64</v>
      </c>
      <c r="O466" s="5">
        <v>40548407.539999999</v>
      </c>
      <c r="P466" s="5">
        <v>40537088.68</v>
      </c>
      <c r="Q466" s="5">
        <v>11318.86</v>
      </c>
      <c r="R466" s="5">
        <v>3054088.16</v>
      </c>
      <c r="S466" s="5">
        <v>3512404.18</v>
      </c>
      <c r="T466" s="5">
        <v>81477.899999999994</v>
      </c>
      <c r="U466" s="5">
        <v>15547.96</v>
      </c>
      <c r="V466" s="5">
        <v>8927.89</v>
      </c>
      <c r="W466" s="5">
        <v>2897.61</v>
      </c>
      <c r="X466" s="5">
        <v>4440.07</v>
      </c>
      <c r="Y466" s="4">
        <v>2122033</v>
      </c>
    </row>
    <row r="467" spans="1:25" ht="16.05" customHeight="1" x14ac:dyDescent="0.3">
      <c r="A467" s="7">
        <v>1089</v>
      </c>
      <c r="B467" s="7">
        <v>16</v>
      </c>
      <c r="C467" s="7">
        <v>2023</v>
      </c>
      <c r="D467" s="8" t="s">
        <v>27</v>
      </c>
      <c r="E467" s="9">
        <v>3129</v>
      </c>
      <c r="F467" s="10">
        <v>201356663.09999999</v>
      </c>
      <c r="G467" s="10">
        <v>23961442.91</v>
      </c>
      <c r="H467" s="11">
        <v>11.9</v>
      </c>
      <c r="I467" s="11">
        <v>14.97</v>
      </c>
      <c r="J467" s="10">
        <v>12956.42</v>
      </c>
      <c r="K467" s="10">
        <v>15478.21</v>
      </c>
      <c r="L467" s="10">
        <v>201290647.5</v>
      </c>
      <c r="M467" s="10">
        <v>201332765</v>
      </c>
      <c r="N467" s="10">
        <v>66015.55</v>
      </c>
      <c r="O467" s="10">
        <v>201302086.59999999</v>
      </c>
      <c r="P467" s="10">
        <v>201292945.5</v>
      </c>
      <c r="Q467" s="10">
        <v>9141.19</v>
      </c>
      <c r="R467" s="10">
        <v>30143092.460000001</v>
      </c>
      <c r="S467" s="10">
        <v>-6181649.5599999996</v>
      </c>
      <c r="T467" s="10">
        <v>87331.45</v>
      </c>
      <c r="U467" s="10">
        <v>9766.2999999999993</v>
      </c>
      <c r="V467" s="10">
        <v>9362.85</v>
      </c>
      <c r="W467" s="10">
        <v>2076.2600000000002</v>
      </c>
      <c r="X467" s="10">
        <v>1347.31</v>
      </c>
      <c r="Y467" s="9">
        <v>2373619</v>
      </c>
    </row>
    <row r="468" spans="1:25" ht="16.05" customHeight="1" x14ac:dyDescent="0.3">
      <c r="A468" s="2">
        <v>1159</v>
      </c>
      <c r="B468" s="2">
        <v>17</v>
      </c>
      <c r="C468" s="2">
        <v>2023</v>
      </c>
      <c r="D468" s="3" t="s">
        <v>27</v>
      </c>
      <c r="E468" s="4">
        <v>1133</v>
      </c>
      <c r="F468" s="5">
        <v>21035618.239999998</v>
      </c>
      <c r="G468" s="5">
        <v>4453240.38</v>
      </c>
      <c r="H468" s="6">
        <v>21.17</v>
      </c>
      <c r="I468" s="6">
        <v>11.93</v>
      </c>
      <c r="J468" s="5">
        <v>12443.33</v>
      </c>
      <c r="K468" s="5">
        <v>2926.11</v>
      </c>
      <c r="L468" s="5">
        <v>20943359.940000001</v>
      </c>
      <c r="M468" s="5">
        <v>21023623.469999999</v>
      </c>
      <c r="N468" s="5">
        <v>92258.3</v>
      </c>
      <c r="O468" s="5">
        <v>20953320.309999999</v>
      </c>
      <c r="P468" s="5">
        <v>20948477.190000001</v>
      </c>
      <c r="Q468" s="5">
        <v>4843.12</v>
      </c>
      <c r="R468" s="5">
        <v>2509549.2599999998</v>
      </c>
      <c r="S468" s="5">
        <v>1943691.12</v>
      </c>
      <c r="T468" s="5">
        <v>78424.62</v>
      </c>
      <c r="U468" s="5">
        <v>42022.97</v>
      </c>
      <c r="V468" s="5">
        <v>3241.59</v>
      </c>
      <c r="W468" s="5">
        <v>6718.78</v>
      </c>
      <c r="X468" s="5">
        <v>3157.77</v>
      </c>
      <c r="Y468" s="4">
        <v>4014032</v>
      </c>
    </row>
    <row r="469" spans="1:25" ht="16.05" customHeight="1" x14ac:dyDescent="0.3">
      <c r="A469" s="7">
        <v>1229</v>
      </c>
      <c r="B469" s="7">
        <v>18</v>
      </c>
      <c r="C469" s="7">
        <v>2023</v>
      </c>
      <c r="D469" s="8" t="s">
        <v>27</v>
      </c>
      <c r="E469" s="9">
        <v>5608</v>
      </c>
      <c r="F469" s="10">
        <v>346584132.5</v>
      </c>
      <c r="G469" s="10">
        <v>41347487</v>
      </c>
      <c r="H469" s="11">
        <v>11.93</v>
      </c>
      <c r="I469" s="11">
        <v>15.21</v>
      </c>
      <c r="J469" s="10">
        <v>14888.46</v>
      </c>
      <c r="K469" s="10">
        <v>19999.34</v>
      </c>
      <c r="L469" s="10">
        <v>346548058.19999999</v>
      </c>
      <c r="M469" s="10">
        <v>346567210.10000002</v>
      </c>
      <c r="N469" s="10">
        <v>36074.269999999997</v>
      </c>
      <c r="O469" s="10">
        <v>346552025.5</v>
      </c>
      <c r="P469" s="10">
        <v>346548439.39999998</v>
      </c>
      <c r="Q469" s="10">
        <v>3586.06</v>
      </c>
      <c r="R469" s="10">
        <v>52715446.549999997</v>
      </c>
      <c r="S469" s="10">
        <v>-11367959.539999999</v>
      </c>
      <c r="T469" s="10">
        <v>93748.11</v>
      </c>
      <c r="U469" s="10">
        <v>36949.29</v>
      </c>
      <c r="V469" s="10">
        <v>3394.76</v>
      </c>
      <c r="W469" s="10">
        <v>572.5</v>
      </c>
      <c r="X469" s="10">
        <v>3636.18</v>
      </c>
      <c r="Y469" s="9">
        <v>4290364</v>
      </c>
    </row>
    <row r="470" spans="1:25" ht="16.05" customHeight="1" x14ac:dyDescent="0.3">
      <c r="A470" s="2">
        <v>1299</v>
      </c>
      <c r="B470" s="2">
        <v>19</v>
      </c>
      <c r="C470" s="2">
        <v>2023</v>
      </c>
      <c r="D470" s="3" t="s">
        <v>27</v>
      </c>
      <c r="E470" s="4">
        <v>6718</v>
      </c>
      <c r="F470" s="5">
        <v>187454478.19999999</v>
      </c>
      <c r="G470" s="5">
        <v>11059814.210000001</v>
      </c>
      <c r="H470" s="6">
        <v>5.9</v>
      </c>
      <c r="I470" s="6">
        <v>9.56</v>
      </c>
      <c r="J470" s="5">
        <v>1950.15</v>
      </c>
      <c r="K470" s="5">
        <v>11753.9</v>
      </c>
      <c r="L470" s="5">
        <v>187400129.09999999</v>
      </c>
      <c r="M470" s="5">
        <v>187438373.5</v>
      </c>
      <c r="N470" s="5">
        <v>54349.05</v>
      </c>
      <c r="O470" s="5">
        <v>187418758.19999999</v>
      </c>
      <c r="P470" s="5">
        <v>187411011.40000001</v>
      </c>
      <c r="Q470" s="5">
        <v>7746.76</v>
      </c>
      <c r="R470" s="5">
        <v>17920648.120000001</v>
      </c>
      <c r="S470" s="5">
        <v>-6860833.9000000004</v>
      </c>
      <c r="T470" s="5">
        <v>33726.910000000003</v>
      </c>
      <c r="U470" s="5">
        <v>53233.69</v>
      </c>
      <c r="V470" s="5">
        <v>11601.67</v>
      </c>
      <c r="W470" s="5">
        <v>7027.38</v>
      </c>
      <c r="X470" s="5">
        <v>4070.09</v>
      </c>
      <c r="Y470" s="4">
        <v>2001118</v>
      </c>
    </row>
    <row r="471" spans="1:25" ht="16.05" customHeight="1" x14ac:dyDescent="0.3">
      <c r="A471" s="7">
        <v>1369</v>
      </c>
      <c r="B471" s="7">
        <v>20</v>
      </c>
      <c r="C471" s="7">
        <v>2023</v>
      </c>
      <c r="D471" s="8" t="s">
        <v>27</v>
      </c>
      <c r="E471" s="9">
        <v>4146</v>
      </c>
      <c r="F471" s="10">
        <v>56244080.969999999</v>
      </c>
      <c r="G471" s="10">
        <v>10039568.449999999</v>
      </c>
      <c r="H471" s="11">
        <v>17.850000000000001</v>
      </c>
      <c r="I471" s="11">
        <v>19.989999999999998</v>
      </c>
      <c r="J471" s="10">
        <v>5939.9</v>
      </c>
      <c r="K471" s="10">
        <v>17359.59</v>
      </c>
      <c r="L471" s="10">
        <v>56217120.520000003</v>
      </c>
      <c r="M471" s="10">
        <v>56239925.060000002</v>
      </c>
      <c r="N471" s="10">
        <v>26960.45</v>
      </c>
      <c r="O471" s="10">
        <v>56227054.659999996</v>
      </c>
      <c r="P471" s="10">
        <v>56224032.93</v>
      </c>
      <c r="Q471" s="10">
        <v>3021.73</v>
      </c>
      <c r="R471" s="10">
        <v>11243191.789999999</v>
      </c>
      <c r="S471" s="10">
        <v>-1203623.33</v>
      </c>
      <c r="T471" s="10">
        <v>90866.35</v>
      </c>
      <c r="U471" s="10">
        <v>25673.27</v>
      </c>
      <c r="V471" s="10">
        <v>3920.29</v>
      </c>
      <c r="W471" s="10">
        <v>6013.85</v>
      </c>
      <c r="X471" s="10">
        <v>3497.03</v>
      </c>
      <c r="Y471" s="9">
        <v>1838893</v>
      </c>
    </row>
    <row r="472" spans="1:25" ht="16.05" customHeight="1" x14ac:dyDescent="0.3">
      <c r="A472" s="2">
        <v>1439</v>
      </c>
      <c r="B472" s="2">
        <v>21</v>
      </c>
      <c r="C472" s="2">
        <v>2023</v>
      </c>
      <c r="D472" s="3" t="s">
        <v>27</v>
      </c>
      <c r="E472" s="4">
        <v>981</v>
      </c>
      <c r="F472" s="5">
        <v>16783667.399999999</v>
      </c>
      <c r="G472" s="5">
        <v>971774.34</v>
      </c>
      <c r="H472" s="6">
        <v>5.79</v>
      </c>
      <c r="I472" s="6">
        <v>18.68</v>
      </c>
      <c r="J472" s="5">
        <v>2454.3200000000002</v>
      </c>
      <c r="K472" s="5">
        <v>3071.67</v>
      </c>
      <c r="L472" s="5">
        <v>16773347.710000001</v>
      </c>
      <c r="M472" s="5">
        <v>16763725.279999999</v>
      </c>
      <c r="N472" s="5">
        <v>10319.69</v>
      </c>
      <c r="O472" s="5">
        <v>16779159.66</v>
      </c>
      <c r="P472" s="5">
        <v>16772343.539999999</v>
      </c>
      <c r="Q472" s="5">
        <v>6816.12</v>
      </c>
      <c r="R472" s="5">
        <v>3135189.07</v>
      </c>
      <c r="S472" s="5">
        <v>-2163414.73</v>
      </c>
      <c r="T472" s="5">
        <v>110302.48</v>
      </c>
      <c r="U472" s="5">
        <v>9203.2800000000007</v>
      </c>
      <c r="V472" s="5">
        <v>4619.7</v>
      </c>
      <c r="W472" s="5">
        <v>1192.25</v>
      </c>
      <c r="X472" s="5">
        <v>1551.79</v>
      </c>
      <c r="Y472" s="4">
        <v>4899402</v>
      </c>
    </row>
    <row r="473" spans="1:25" ht="16.05" customHeight="1" x14ac:dyDescent="0.3">
      <c r="A473" s="7">
        <v>1509</v>
      </c>
      <c r="B473" s="7">
        <v>22</v>
      </c>
      <c r="C473" s="7">
        <v>2023</v>
      </c>
      <c r="D473" s="8" t="s">
        <v>27</v>
      </c>
      <c r="E473" s="9">
        <v>279</v>
      </c>
      <c r="F473" s="10">
        <v>11411198.48</v>
      </c>
      <c r="G473" s="10">
        <v>1532523.96</v>
      </c>
      <c r="H473" s="11">
        <v>13.43</v>
      </c>
      <c r="I473" s="11">
        <v>10.78</v>
      </c>
      <c r="J473" s="10">
        <v>13847.86</v>
      </c>
      <c r="K473" s="10">
        <v>18034.509999999998</v>
      </c>
      <c r="L473" s="10">
        <v>11363222.220000001</v>
      </c>
      <c r="M473" s="10">
        <v>11387860.220000001</v>
      </c>
      <c r="N473" s="10">
        <v>47976.26</v>
      </c>
      <c r="O473" s="10">
        <v>11369991.619999999</v>
      </c>
      <c r="P473" s="10">
        <v>11368962.66</v>
      </c>
      <c r="Q473" s="10">
        <v>1028.96</v>
      </c>
      <c r="R473" s="10">
        <v>1230127.2</v>
      </c>
      <c r="S473" s="10">
        <v>302396.76</v>
      </c>
      <c r="T473" s="10">
        <v>41439.33</v>
      </c>
      <c r="U473" s="10">
        <v>12107.77</v>
      </c>
      <c r="V473" s="10">
        <v>6268.94</v>
      </c>
      <c r="W473" s="10">
        <v>500.46</v>
      </c>
      <c r="X473" s="10">
        <v>2017.64</v>
      </c>
      <c r="Y473" s="9">
        <v>2122692</v>
      </c>
    </row>
    <row r="474" spans="1:25" ht="16.05" customHeight="1" x14ac:dyDescent="0.3">
      <c r="A474" s="2">
        <v>1579</v>
      </c>
      <c r="B474" s="2">
        <v>23</v>
      </c>
      <c r="C474" s="2">
        <v>2023</v>
      </c>
      <c r="D474" s="3" t="s">
        <v>27</v>
      </c>
      <c r="E474" s="4">
        <v>3568</v>
      </c>
      <c r="F474" s="5">
        <v>64806617.420000002</v>
      </c>
      <c r="G474" s="5">
        <v>18197698.170000002</v>
      </c>
      <c r="H474" s="6">
        <v>28.08</v>
      </c>
      <c r="I474" s="6">
        <v>18.510000000000002</v>
      </c>
      <c r="J474" s="5">
        <v>10304.83</v>
      </c>
      <c r="K474" s="5">
        <v>9897.08</v>
      </c>
      <c r="L474" s="5">
        <v>64744271.409999996</v>
      </c>
      <c r="M474" s="5">
        <v>64790493.759999998</v>
      </c>
      <c r="N474" s="5">
        <v>62346.01</v>
      </c>
      <c r="O474" s="5">
        <v>64756736.329999998</v>
      </c>
      <c r="P474" s="5">
        <v>64752107.689999998</v>
      </c>
      <c r="Q474" s="5">
        <v>4628.6400000000003</v>
      </c>
      <c r="R474" s="5">
        <v>11995704.880000001</v>
      </c>
      <c r="S474" s="5">
        <v>6201993.29</v>
      </c>
      <c r="T474" s="5">
        <v>86986.13</v>
      </c>
      <c r="U474" s="5">
        <v>33625.370000000003</v>
      </c>
      <c r="V474" s="5">
        <v>6869.28</v>
      </c>
      <c r="W474" s="5">
        <v>5595.64</v>
      </c>
      <c r="X474" s="5">
        <v>1492.33</v>
      </c>
      <c r="Y474" s="4">
        <v>2701926</v>
      </c>
    </row>
    <row r="475" spans="1:25" ht="16.05" customHeight="1" x14ac:dyDescent="0.3">
      <c r="A475" s="7">
        <v>1649</v>
      </c>
      <c r="B475" s="7">
        <v>24</v>
      </c>
      <c r="C475" s="7">
        <v>2023</v>
      </c>
      <c r="D475" s="8" t="s">
        <v>27</v>
      </c>
      <c r="E475" s="9">
        <v>3410</v>
      </c>
      <c r="F475" s="10">
        <v>182919767.30000001</v>
      </c>
      <c r="G475" s="10">
        <v>14725041.27</v>
      </c>
      <c r="H475" s="11">
        <v>8.0500000000000007</v>
      </c>
      <c r="I475" s="11">
        <v>19.18</v>
      </c>
      <c r="J475" s="10">
        <v>7732.74</v>
      </c>
      <c r="K475" s="10">
        <v>12144.64</v>
      </c>
      <c r="L475" s="10">
        <v>182886762.90000001</v>
      </c>
      <c r="M475" s="10">
        <v>182916218.30000001</v>
      </c>
      <c r="N475" s="10">
        <v>33004.379999999997</v>
      </c>
      <c r="O475" s="10">
        <v>182900218.90000001</v>
      </c>
      <c r="P475" s="10">
        <v>182885731.09999999</v>
      </c>
      <c r="Q475" s="10">
        <v>14487.75</v>
      </c>
      <c r="R475" s="10">
        <v>35084011.359999999</v>
      </c>
      <c r="S475" s="10">
        <v>-20358970.100000001</v>
      </c>
      <c r="T475" s="10">
        <v>23495.24</v>
      </c>
      <c r="U475" s="10">
        <v>37957.17</v>
      </c>
      <c r="V475" s="10">
        <v>7894.39</v>
      </c>
      <c r="W475" s="10">
        <v>5561.59</v>
      </c>
      <c r="X475" s="10">
        <v>2445.27</v>
      </c>
      <c r="Y475" s="9">
        <v>1420052</v>
      </c>
    </row>
    <row r="476" spans="1:25" ht="16.05" customHeight="1" x14ac:dyDescent="0.3">
      <c r="A476" s="2">
        <v>1719</v>
      </c>
      <c r="B476" s="2">
        <v>25</v>
      </c>
      <c r="C476" s="2">
        <v>2023</v>
      </c>
      <c r="D476" s="3" t="s">
        <v>27</v>
      </c>
      <c r="E476" s="4">
        <v>5632</v>
      </c>
      <c r="F476" s="5">
        <v>85007260.090000004</v>
      </c>
      <c r="G476" s="5">
        <v>6511556.1200000001</v>
      </c>
      <c r="H476" s="6">
        <v>7.66</v>
      </c>
      <c r="I476" s="6">
        <v>17.54</v>
      </c>
      <c r="J476" s="5">
        <v>4224.26</v>
      </c>
      <c r="K476" s="5">
        <v>3302.35</v>
      </c>
      <c r="L476" s="5">
        <v>84957804.819999993</v>
      </c>
      <c r="M476" s="5">
        <v>84998669.209999993</v>
      </c>
      <c r="N476" s="5">
        <v>49455.27</v>
      </c>
      <c r="O476" s="5">
        <v>84970646.480000004</v>
      </c>
      <c r="P476" s="5">
        <v>84966291.810000002</v>
      </c>
      <c r="Q476" s="5">
        <v>4354.67</v>
      </c>
      <c r="R476" s="5">
        <v>14910273.42</v>
      </c>
      <c r="S476" s="5">
        <v>-8398717.3000000007</v>
      </c>
      <c r="T476" s="5">
        <v>44187.32</v>
      </c>
      <c r="U476" s="5">
        <v>28771.1</v>
      </c>
      <c r="V476" s="5">
        <v>10616.79</v>
      </c>
      <c r="W476" s="5">
        <v>2224.87</v>
      </c>
      <c r="X476" s="5">
        <v>3470.39</v>
      </c>
      <c r="Y476" s="4">
        <v>4622367</v>
      </c>
    </row>
    <row r="477" spans="1:25" ht="16.05" customHeight="1" x14ac:dyDescent="0.3">
      <c r="A477" s="7">
        <v>1789</v>
      </c>
      <c r="B477" s="7">
        <v>26</v>
      </c>
      <c r="C477" s="7">
        <v>2023</v>
      </c>
      <c r="D477" s="8" t="s">
        <v>27</v>
      </c>
      <c r="E477" s="9">
        <v>1401</v>
      </c>
      <c r="F477" s="10">
        <v>69790169.950000003</v>
      </c>
      <c r="G477" s="10">
        <v>5897269.3600000003</v>
      </c>
      <c r="H477" s="11">
        <v>8.4499999999999993</v>
      </c>
      <c r="I477" s="11">
        <v>17.38</v>
      </c>
      <c r="J477" s="10">
        <v>14915.09</v>
      </c>
      <c r="K477" s="10">
        <v>2424.79</v>
      </c>
      <c r="L477" s="10">
        <v>69744758.870000005</v>
      </c>
      <c r="M477" s="10">
        <v>69782577.609999999</v>
      </c>
      <c r="N477" s="10">
        <v>45411.08</v>
      </c>
      <c r="O477" s="10">
        <v>69748597.75</v>
      </c>
      <c r="P477" s="10">
        <v>69745153</v>
      </c>
      <c r="Q477" s="10">
        <v>3444.75</v>
      </c>
      <c r="R477" s="10">
        <v>12129531.539999999</v>
      </c>
      <c r="S477" s="10">
        <v>-6232262.1799999997</v>
      </c>
      <c r="T477" s="10">
        <v>15544.56</v>
      </c>
      <c r="U477" s="10">
        <v>8053.08</v>
      </c>
      <c r="V477" s="10">
        <v>1104.75</v>
      </c>
      <c r="W477" s="10">
        <v>2734.13</v>
      </c>
      <c r="X477" s="10">
        <v>3279.2</v>
      </c>
      <c r="Y477" s="9">
        <v>4249222</v>
      </c>
    </row>
    <row r="478" spans="1:25" ht="16.05" customHeight="1" x14ac:dyDescent="0.3">
      <c r="A478" s="2">
        <v>1859</v>
      </c>
      <c r="B478" s="2">
        <v>27</v>
      </c>
      <c r="C478" s="2">
        <v>2023</v>
      </c>
      <c r="D478" s="3" t="s">
        <v>27</v>
      </c>
      <c r="E478" s="4">
        <v>4908</v>
      </c>
      <c r="F478" s="5">
        <v>85082759.920000002</v>
      </c>
      <c r="G478" s="5">
        <v>19279753.399999999</v>
      </c>
      <c r="H478" s="6">
        <v>22.66</v>
      </c>
      <c r="I478" s="6">
        <v>11.01</v>
      </c>
      <c r="J478" s="5">
        <v>12247.98</v>
      </c>
      <c r="K478" s="5">
        <v>17136.03</v>
      </c>
      <c r="L478" s="5">
        <v>85064769.670000002</v>
      </c>
      <c r="M478" s="5">
        <v>85072374.75</v>
      </c>
      <c r="N478" s="5">
        <v>17990.25</v>
      </c>
      <c r="O478" s="5">
        <v>85070445.090000004</v>
      </c>
      <c r="P478" s="5">
        <v>85065811.209999993</v>
      </c>
      <c r="Q478" s="5">
        <v>4633.88</v>
      </c>
      <c r="R478" s="5">
        <v>9367611.8699999992</v>
      </c>
      <c r="S478" s="5">
        <v>9912141.5299999993</v>
      </c>
      <c r="T478" s="5">
        <v>18924.07</v>
      </c>
      <c r="U478" s="5">
        <v>32026</v>
      </c>
      <c r="V478" s="5">
        <v>2124.87</v>
      </c>
      <c r="W478" s="5">
        <v>3550.55</v>
      </c>
      <c r="X478" s="5">
        <v>1968.31</v>
      </c>
      <c r="Y478" s="4">
        <v>2271381</v>
      </c>
    </row>
    <row r="479" spans="1:25" ht="16.05" customHeight="1" x14ac:dyDescent="0.3">
      <c r="A479" s="7">
        <v>1929</v>
      </c>
      <c r="B479" s="7">
        <v>28</v>
      </c>
      <c r="C479" s="7">
        <v>2023</v>
      </c>
      <c r="D479" s="8" t="s">
        <v>27</v>
      </c>
      <c r="E479" s="9">
        <v>491</v>
      </c>
      <c r="F479" s="10">
        <v>17579545.640000001</v>
      </c>
      <c r="G479" s="10">
        <v>1170797.74</v>
      </c>
      <c r="H479" s="11">
        <v>6.66</v>
      </c>
      <c r="I479" s="11">
        <v>18.47</v>
      </c>
      <c r="J479" s="10">
        <v>6082.41</v>
      </c>
      <c r="K479" s="10">
        <v>5501.31</v>
      </c>
      <c r="L479" s="10">
        <v>17496032.920000002</v>
      </c>
      <c r="M479" s="10">
        <v>17556576.010000002</v>
      </c>
      <c r="N479" s="10">
        <v>83512.72</v>
      </c>
      <c r="O479" s="10">
        <v>17500642.059999999</v>
      </c>
      <c r="P479" s="10">
        <v>17490451.079999998</v>
      </c>
      <c r="Q479" s="10">
        <v>10190.98</v>
      </c>
      <c r="R479" s="10">
        <v>3246942.08</v>
      </c>
      <c r="S479" s="10">
        <v>-2076144.34</v>
      </c>
      <c r="T479" s="10">
        <v>29747</v>
      </c>
      <c r="U479" s="10">
        <v>16708.29</v>
      </c>
      <c r="V479" s="10">
        <v>3075.8</v>
      </c>
      <c r="W479" s="10">
        <v>1533.34</v>
      </c>
      <c r="X479" s="10">
        <v>1082.3499999999999</v>
      </c>
      <c r="Y479" s="9">
        <v>4601160</v>
      </c>
    </row>
    <row r="480" spans="1:25" ht="16.05" customHeight="1" x14ac:dyDescent="0.3">
      <c r="A480" s="2">
        <v>1999</v>
      </c>
      <c r="B480" s="2">
        <v>29</v>
      </c>
      <c r="C480" s="2">
        <v>2023</v>
      </c>
      <c r="D480" s="3" t="s">
        <v>27</v>
      </c>
      <c r="E480" s="4">
        <v>569</v>
      </c>
      <c r="F480" s="5">
        <v>28540898.030000001</v>
      </c>
      <c r="G480" s="5">
        <v>1955051.52</v>
      </c>
      <c r="H480" s="6">
        <v>6.85</v>
      </c>
      <c r="I480" s="6">
        <v>17.66</v>
      </c>
      <c r="J480" s="5">
        <v>2729.02</v>
      </c>
      <c r="K480" s="5">
        <v>18758.759999999998</v>
      </c>
      <c r="L480" s="5">
        <v>28526888.050000001</v>
      </c>
      <c r="M480" s="5">
        <v>28534246.09</v>
      </c>
      <c r="N480" s="5">
        <v>14009.98</v>
      </c>
      <c r="O480" s="5">
        <v>28536381.600000001</v>
      </c>
      <c r="P480" s="5">
        <v>28530835.760000002</v>
      </c>
      <c r="Q480" s="5">
        <v>5545.84</v>
      </c>
      <c r="R480" s="5">
        <v>5040322.59</v>
      </c>
      <c r="S480" s="5">
        <v>-3085271.08</v>
      </c>
      <c r="T480" s="5">
        <v>60108.58</v>
      </c>
      <c r="U480" s="5">
        <v>34695.620000000003</v>
      </c>
      <c r="V480" s="5">
        <v>7045.94</v>
      </c>
      <c r="W480" s="5">
        <v>2447.61</v>
      </c>
      <c r="X480" s="5">
        <v>3233.04</v>
      </c>
      <c r="Y480" s="4">
        <v>3648470</v>
      </c>
    </row>
    <row r="481" spans="1:25" ht="16.05" customHeight="1" x14ac:dyDescent="0.3">
      <c r="A481" s="7">
        <v>2069</v>
      </c>
      <c r="B481" s="7">
        <v>30</v>
      </c>
      <c r="C481" s="7">
        <v>2023</v>
      </c>
      <c r="D481" s="8" t="s">
        <v>27</v>
      </c>
      <c r="E481" s="9">
        <v>5624</v>
      </c>
      <c r="F481" s="10">
        <v>348348580.5</v>
      </c>
      <c r="G481" s="10">
        <v>55282919.719999999</v>
      </c>
      <c r="H481" s="11">
        <v>15.87</v>
      </c>
      <c r="I481" s="11">
        <v>12.53</v>
      </c>
      <c r="J481" s="10">
        <v>7611.21</v>
      </c>
      <c r="K481" s="10">
        <v>2341.65</v>
      </c>
      <c r="L481" s="10">
        <v>348286171.60000002</v>
      </c>
      <c r="M481" s="10">
        <v>348341278</v>
      </c>
      <c r="N481" s="10">
        <v>62408.84</v>
      </c>
      <c r="O481" s="10">
        <v>348293738.39999998</v>
      </c>
      <c r="P481" s="10">
        <v>348287851.80000001</v>
      </c>
      <c r="Q481" s="10">
        <v>5886.51</v>
      </c>
      <c r="R481" s="10">
        <v>43648077.130000003</v>
      </c>
      <c r="S481" s="10">
        <v>11634842.59</v>
      </c>
      <c r="T481" s="10">
        <v>92947.09</v>
      </c>
      <c r="U481" s="10">
        <v>6354.56</v>
      </c>
      <c r="V481" s="10">
        <v>4757.1899999999996</v>
      </c>
      <c r="W481" s="10">
        <v>2809.55</v>
      </c>
      <c r="X481" s="10">
        <v>4291.97</v>
      </c>
      <c r="Y481" s="9">
        <v>1055803</v>
      </c>
    </row>
    <row r="482" spans="1:25" ht="16.05" customHeight="1" x14ac:dyDescent="0.3">
      <c r="A482" s="2">
        <v>2139</v>
      </c>
      <c r="B482" s="2">
        <v>31</v>
      </c>
      <c r="C482" s="2">
        <v>2023</v>
      </c>
      <c r="D482" s="3" t="s">
        <v>27</v>
      </c>
      <c r="E482" s="4">
        <v>275</v>
      </c>
      <c r="F482" s="5">
        <v>6917791.3700000001</v>
      </c>
      <c r="G482" s="5">
        <v>1378715.82</v>
      </c>
      <c r="H482" s="6">
        <v>19.93</v>
      </c>
      <c r="I482" s="6">
        <v>13.48</v>
      </c>
      <c r="J482" s="5">
        <v>11065.57</v>
      </c>
      <c r="K482" s="5">
        <v>14762.39</v>
      </c>
      <c r="L482" s="5">
        <v>6830578.1799999997</v>
      </c>
      <c r="M482" s="5">
        <v>6912080.9900000002</v>
      </c>
      <c r="N482" s="5">
        <v>87213.19</v>
      </c>
      <c r="O482" s="5">
        <v>6840352.5599999996</v>
      </c>
      <c r="P482" s="5">
        <v>6831420.8200000003</v>
      </c>
      <c r="Q482" s="5">
        <v>8931.74</v>
      </c>
      <c r="R482" s="5">
        <v>932518.28</v>
      </c>
      <c r="S482" s="5">
        <v>446197.54</v>
      </c>
      <c r="T482" s="5">
        <v>72172.88</v>
      </c>
      <c r="U482" s="5">
        <v>30799.08</v>
      </c>
      <c r="V482" s="5">
        <v>8020.04</v>
      </c>
      <c r="W482" s="5">
        <v>1754.34</v>
      </c>
      <c r="X482" s="5">
        <v>2262.06</v>
      </c>
      <c r="Y482" s="4">
        <v>3945500</v>
      </c>
    </row>
    <row r="483" spans="1:25" ht="16.05" customHeight="1" x14ac:dyDescent="0.3">
      <c r="A483" s="7">
        <v>2209</v>
      </c>
      <c r="B483" s="7">
        <v>32</v>
      </c>
      <c r="C483" s="7">
        <v>2023</v>
      </c>
      <c r="D483" s="8" t="s">
        <v>27</v>
      </c>
      <c r="E483" s="9">
        <v>2625</v>
      </c>
      <c r="F483" s="10">
        <v>79012871.489999995</v>
      </c>
      <c r="G483" s="10">
        <v>6700291.5</v>
      </c>
      <c r="H483" s="11">
        <v>8.48</v>
      </c>
      <c r="I483" s="11">
        <v>14.5</v>
      </c>
      <c r="J483" s="10">
        <v>7447.35</v>
      </c>
      <c r="K483" s="10">
        <v>15373.41</v>
      </c>
      <c r="L483" s="10">
        <v>78975317</v>
      </c>
      <c r="M483" s="10">
        <v>78991877.019999996</v>
      </c>
      <c r="N483" s="10">
        <v>37554.49</v>
      </c>
      <c r="O483" s="10">
        <v>78993090.909999996</v>
      </c>
      <c r="P483" s="10">
        <v>78983046.25</v>
      </c>
      <c r="Q483" s="10">
        <v>10044.66</v>
      </c>
      <c r="R483" s="10">
        <v>11456866.369999999</v>
      </c>
      <c r="S483" s="10">
        <v>-4756574.8600000003</v>
      </c>
      <c r="T483" s="10">
        <v>41741.06</v>
      </c>
      <c r="U483" s="10">
        <v>48684.54</v>
      </c>
      <c r="V483" s="10">
        <v>11572.58</v>
      </c>
      <c r="W483" s="10">
        <v>6201.33</v>
      </c>
      <c r="X483" s="10">
        <v>1763.87</v>
      </c>
      <c r="Y483" s="9">
        <v>2836970</v>
      </c>
    </row>
    <row r="484" spans="1:25" ht="16.05" customHeight="1" x14ac:dyDescent="0.3">
      <c r="A484" s="2">
        <v>2279</v>
      </c>
      <c r="B484" s="2">
        <v>33</v>
      </c>
      <c r="C484" s="2">
        <v>2023</v>
      </c>
      <c r="D484" s="3" t="s">
        <v>27</v>
      </c>
      <c r="E484" s="4">
        <v>5926</v>
      </c>
      <c r="F484" s="5">
        <v>352823331.30000001</v>
      </c>
      <c r="G484" s="5">
        <v>38140202.109999999</v>
      </c>
      <c r="H484" s="6">
        <v>10.81</v>
      </c>
      <c r="I484" s="6">
        <v>18.84</v>
      </c>
      <c r="J484" s="5">
        <v>12442.42</v>
      </c>
      <c r="K484" s="5">
        <v>15085.13</v>
      </c>
      <c r="L484" s="5">
        <v>352766057.69999999</v>
      </c>
      <c r="M484" s="5">
        <v>352805174.10000002</v>
      </c>
      <c r="N484" s="5">
        <v>57273.55</v>
      </c>
      <c r="O484" s="5">
        <v>352780861.10000002</v>
      </c>
      <c r="P484" s="5">
        <v>352777438.89999998</v>
      </c>
      <c r="Q484" s="5">
        <v>3422.17</v>
      </c>
      <c r="R484" s="5">
        <v>66471915.609999999</v>
      </c>
      <c r="S484" s="5">
        <v>-28331713.5</v>
      </c>
      <c r="T484" s="5">
        <v>102843.07</v>
      </c>
      <c r="U484" s="5">
        <v>21364.18</v>
      </c>
      <c r="V484" s="5">
        <v>9083.3700000000008</v>
      </c>
      <c r="W484" s="5">
        <v>5720.01</v>
      </c>
      <c r="X484" s="5">
        <v>4590.66</v>
      </c>
      <c r="Y484" s="4">
        <v>2251010</v>
      </c>
    </row>
    <row r="485" spans="1:25" ht="16.05" customHeight="1" x14ac:dyDescent="0.3">
      <c r="A485" s="7">
        <v>2349</v>
      </c>
      <c r="B485" s="7">
        <v>34</v>
      </c>
      <c r="C485" s="7">
        <v>2023</v>
      </c>
      <c r="D485" s="8" t="s">
        <v>27</v>
      </c>
      <c r="E485" s="9">
        <v>6875</v>
      </c>
      <c r="F485" s="10">
        <v>75495465.019999996</v>
      </c>
      <c r="G485" s="10">
        <v>5828249.9000000004</v>
      </c>
      <c r="H485" s="11">
        <v>7.72</v>
      </c>
      <c r="I485" s="11">
        <v>11.35</v>
      </c>
      <c r="J485" s="10">
        <v>14620.35</v>
      </c>
      <c r="K485" s="10">
        <v>7234.74</v>
      </c>
      <c r="L485" s="10">
        <v>75431760.340000004</v>
      </c>
      <c r="M485" s="10">
        <v>75472130.379999995</v>
      </c>
      <c r="N485" s="10">
        <v>63704.68</v>
      </c>
      <c r="O485" s="10">
        <v>75438834.670000002</v>
      </c>
      <c r="P485" s="10">
        <v>75433868.150000006</v>
      </c>
      <c r="Q485" s="10">
        <v>4966.5200000000004</v>
      </c>
      <c r="R485" s="10">
        <v>8568735.2799999993</v>
      </c>
      <c r="S485" s="10">
        <v>-2740485.38</v>
      </c>
      <c r="T485" s="10">
        <v>89568.43</v>
      </c>
      <c r="U485" s="10">
        <v>36345.300000000003</v>
      </c>
      <c r="V485" s="10">
        <v>3537.63</v>
      </c>
      <c r="W485" s="10">
        <v>3536.7</v>
      </c>
      <c r="X485" s="10">
        <v>2546.1799999999998</v>
      </c>
      <c r="Y485" s="9">
        <v>4594949</v>
      </c>
    </row>
    <row r="486" spans="1:25" ht="16.05" customHeight="1" x14ac:dyDescent="0.3">
      <c r="A486" s="2">
        <v>2419</v>
      </c>
      <c r="B486" s="2">
        <v>35</v>
      </c>
      <c r="C486" s="2">
        <v>2023</v>
      </c>
      <c r="D486" s="3" t="s">
        <v>27</v>
      </c>
      <c r="E486" s="4">
        <v>4739</v>
      </c>
      <c r="F486" s="5">
        <v>282435444.80000001</v>
      </c>
      <c r="G486" s="5">
        <v>64028115.340000004</v>
      </c>
      <c r="H486" s="6">
        <v>22.67</v>
      </c>
      <c r="I486" s="6">
        <v>16.23</v>
      </c>
      <c r="J486" s="5">
        <v>2161.3200000000002</v>
      </c>
      <c r="K486" s="5">
        <v>17482.32</v>
      </c>
      <c r="L486" s="5">
        <v>282336073.69999999</v>
      </c>
      <c r="M486" s="5">
        <v>282418501.19999999</v>
      </c>
      <c r="N486" s="5">
        <v>99371.14</v>
      </c>
      <c r="O486" s="5">
        <v>282344866.80000001</v>
      </c>
      <c r="P486" s="5">
        <v>282338992.5</v>
      </c>
      <c r="Q486" s="5">
        <v>5874.32</v>
      </c>
      <c r="R486" s="5">
        <v>45839272.689999998</v>
      </c>
      <c r="S486" s="5">
        <v>18188842.649999999</v>
      </c>
      <c r="T486" s="5">
        <v>33704.370000000003</v>
      </c>
      <c r="U486" s="5">
        <v>20955.87</v>
      </c>
      <c r="V486" s="5">
        <v>3374.09</v>
      </c>
      <c r="W486" s="5">
        <v>5419.08</v>
      </c>
      <c r="X486" s="5">
        <v>1624.06</v>
      </c>
      <c r="Y486" s="4">
        <v>3565549</v>
      </c>
    </row>
    <row r="487" spans="1:25" ht="16.05" customHeight="1" x14ac:dyDescent="0.3">
      <c r="A487" s="7">
        <v>2489</v>
      </c>
      <c r="B487" s="7">
        <v>36</v>
      </c>
      <c r="C487" s="7">
        <v>2023</v>
      </c>
      <c r="D487" s="8" t="s">
        <v>27</v>
      </c>
      <c r="E487" s="9">
        <v>1678</v>
      </c>
      <c r="F487" s="10">
        <v>75828732.079999998</v>
      </c>
      <c r="G487" s="10">
        <v>8235000.2999999998</v>
      </c>
      <c r="H487" s="11">
        <v>10.86</v>
      </c>
      <c r="I487" s="11">
        <v>7.34</v>
      </c>
      <c r="J487" s="10">
        <v>8735.6</v>
      </c>
      <c r="K487" s="10">
        <v>6451.78</v>
      </c>
      <c r="L487" s="10">
        <v>75749446.140000001</v>
      </c>
      <c r="M487" s="10">
        <v>75810063.420000002</v>
      </c>
      <c r="N487" s="10">
        <v>79285.94</v>
      </c>
      <c r="O487" s="10">
        <v>75753205.769999996</v>
      </c>
      <c r="P487" s="10">
        <v>75738660.920000002</v>
      </c>
      <c r="Q487" s="10">
        <v>14544.85</v>
      </c>
      <c r="R487" s="10">
        <v>5565828.9299999997</v>
      </c>
      <c r="S487" s="10">
        <v>2669171.37</v>
      </c>
      <c r="T487" s="10">
        <v>22321.3</v>
      </c>
      <c r="U487" s="10">
        <v>36184.14</v>
      </c>
      <c r="V487" s="10">
        <v>2443.7600000000002</v>
      </c>
      <c r="W487" s="10">
        <v>1315.87</v>
      </c>
      <c r="X487" s="10">
        <v>1749.27</v>
      </c>
      <c r="Y487" s="9">
        <v>2144326</v>
      </c>
    </row>
    <row r="488" spans="1:25" ht="16.05" customHeight="1" x14ac:dyDescent="0.3">
      <c r="A488" s="2">
        <v>2559</v>
      </c>
      <c r="B488" s="2">
        <v>37</v>
      </c>
      <c r="C488" s="2">
        <v>2023</v>
      </c>
      <c r="D488" s="3" t="s">
        <v>27</v>
      </c>
      <c r="E488" s="4">
        <v>736</v>
      </c>
      <c r="F488" s="5">
        <v>50034310.520000003</v>
      </c>
      <c r="G488" s="5">
        <v>4613163.43</v>
      </c>
      <c r="H488" s="6">
        <v>9.2200000000000006</v>
      </c>
      <c r="I488" s="6">
        <v>5.14</v>
      </c>
      <c r="J488" s="5">
        <v>2226.0100000000002</v>
      </c>
      <c r="K488" s="5">
        <v>2100.23</v>
      </c>
      <c r="L488" s="5">
        <v>49963158.130000003</v>
      </c>
      <c r="M488" s="5">
        <v>50018430.590000004</v>
      </c>
      <c r="N488" s="5">
        <v>71152.39</v>
      </c>
      <c r="O488" s="5">
        <v>49969151.75</v>
      </c>
      <c r="P488" s="5">
        <v>49955776.140000001</v>
      </c>
      <c r="Q488" s="5">
        <v>13375.61</v>
      </c>
      <c r="R488" s="5">
        <v>2571763.56</v>
      </c>
      <c r="S488" s="5">
        <v>2041399.87</v>
      </c>
      <c r="T488" s="5">
        <v>118956.13</v>
      </c>
      <c r="U488" s="5">
        <v>38773.51</v>
      </c>
      <c r="V488" s="5">
        <v>1360.19</v>
      </c>
      <c r="W488" s="5">
        <v>4633.43</v>
      </c>
      <c r="X488" s="5">
        <v>3192.96</v>
      </c>
      <c r="Y488" s="4">
        <v>4417063</v>
      </c>
    </row>
    <row r="489" spans="1:25" ht="16.05" customHeight="1" x14ac:dyDescent="0.3">
      <c r="A489" s="7">
        <v>2629</v>
      </c>
      <c r="B489" s="7">
        <v>38</v>
      </c>
      <c r="C489" s="7">
        <v>2023</v>
      </c>
      <c r="D489" s="8" t="s">
        <v>27</v>
      </c>
      <c r="E489" s="9">
        <v>432</v>
      </c>
      <c r="F489" s="10">
        <v>26758086.460000001</v>
      </c>
      <c r="G489" s="10">
        <v>5049250.92</v>
      </c>
      <c r="H489" s="11">
        <v>18.87</v>
      </c>
      <c r="I489" s="11">
        <v>13.07</v>
      </c>
      <c r="J489" s="10">
        <v>13903.05</v>
      </c>
      <c r="K489" s="10">
        <v>8211.43</v>
      </c>
      <c r="L489" s="10">
        <v>26744200.890000001</v>
      </c>
      <c r="M489" s="10">
        <v>26750721.34</v>
      </c>
      <c r="N489" s="10">
        <v>13885.57</v>
      </c>
      <c r="O489" s="10">
        <v>26756371.359999999</v>
      </c>
      <c r="P489" s="10">
        <v>26753452.75</v>
      </c>
      <c r="Q489" s="10">
        <v>2918.61</v>
      </c>
      <c r="R489" s="10">
        <v>3497281.9</v>
      </c>
      <c r="S489" s="10">
        <v>1551969.02</v>
      </c>
      <c r="T489" s="10">
        <v>113399.41</v>
      </c>
      <c r="U489" s="10">
        <v>54648.59</v>
      </c>
      <c r="V489" s="10">
        <v>5920.17</v>
      </c>
      <c r="W489" s="10">
        <v>6250.3</v>
      </c>
      <c r="X489" s="10">
        <v>2083.4499999999998</v>
      </c>
      <c r="Y489" s="9">
        <v>4400956</v>
      </c>
    </row>
    <row r="490" spans="1:25" ht="16.05" customHeight="1" x14ac:dyDescent="0.3">
      <c r="A490" s="2">
        <v>2699</v>
      </c>
      <c r="B490" s="2">
        <v>39</v>
      </c>
      <c r="C490" s="2">
        <v>2023</v>
      </c>
      <c r="D490" s="3" t="s">
        <v>27</v>
      </c>
      <c r="E490" s="4">
        <v>5711</v>
      </c>
      <c r="F490" s="5">
        <v>366316899.10000002</v>
      </c>
      <c r="G490" s="5">
        <v>73263379.819999993</v>
      </c>
      <c r="H490" s="6">
        <v>20</v>
      </c>
      <c r="I490" s="6">
        <v>16.97</v>
      </c>
      <c r="J490" s="5">
        <v>10478.049999999999</v>
      </c>
      <c r="K490" s="5">
        <v>13055.41</v>
      </c>
      <c r="L490" s="5">
        <v>366258188.39999998</v>
      </c>
      <c r="M490" s="5">
        <v>366311802.5</v>
      </c>
      <c r="N490" s="5">
        <v>58710.66</v>
      </c>
      <c r="O490" s="5">
        <v>366273022.5</v>
      </c>
      <c r="P490" s="5">
        <v>366265135.60000002</v>
      </c>
      <c r="Q490" s="5">
        <v>7886.84</v>
      </c>
      <c r="R490" s="5">
        <v>62163977.780000001</v>
      </c>
      <c r="S490" s="5">
        <v>11099402.039999999</v>
      </c>
      <c r="T490" s="5">
        <v>96712.34</v>
      </c>
      <c r="U490" s="5">
        <v>26662.9</v>
      </c>
      <c r="V490" s="5">
        <v>8475.33</v>
      </c>
      <c r="W490" s="5">
        <v>6358.7</v>
      </c>
      <c r="X490" s="5">
        <v>1797.29</v>
      </c>
      <c r="Y490" s="4">
        <v>1028993</v>
      </c>
    </row>
    <row r="491" spans="1:25" ht="16.05" customHeight="1" x14ac:dyDescent="0.3">
      <c r="A491" s="7">
        <v>2769</v>
      </c>
      <c r="B491" s="7">
        <v>40</v>
      </c>
      <c r="C491" s="7">
        <v>2023</v>
      </c>
      <c r="D491" s="8" t="s">
        <v>27</v>
      </c>
      <c r="E491" s="9">
        <v>2588</v>
      </c>
      <c r="F491" s="10">
        <v>103088681.8</v>
      </c>
      <c r="G491" s="10">
        <v>27266956.350000001</v>
      </c>
      <c r="H491" s="11">
        <v>26.45</v>
      </c>
      <c r="I491" s="11">
        <v>15.82</v>
      </c>
      <c r="J491" s="10">
        <v>11818.1</v>
      </c>
      <c r="K491" s="10">
        <v>5975.21</v>
      </c>
      <c r="L491" s="10">
        <v>103045869.5</v>
      </c>
      <c r="M491" s="10">
        <v>103063450.5</v>
      </c>
      <c r="N491" s="10">
        <v>42812.31</v>
      </c>
      <c r="O491" s="10">
        <v>103049601.59999999</v>
      </c>
      <c r="P491" s="10">
        <v>103048146.59999999</v>
      </c>
      <c r="Q491" s="10">
        <v>1454.94</v>
      </c>
      <c r="R491" s="10">
        <v>16308629.470000001</v>
      </c>
      <c r="S491" s="10">
        <v>10958326.880000001</v>
      </c>
      <c r="T491" s="10">
        <v>93316.05</v>
      </c>
      <c r="U491" s="10">
        <v>13499.9</v>
      </c>
      <c r="V491" s="10">
        <v>3222.2</v>
      </c>
      <c r="W491" s="10">
        <v>509.85</v>
      </c>
      <c r="X491" s="10">
        <v>3901.15</v>
      </c>
      <c r="Y491" s="9">
        <v>4293326</v>
      </c>
    </row>
    <row r="492" spans="1:25" ht="16.05" customHeight="1" x14ac:dyDescent="0.3">
      <c r="A492" s="2">
        <v>2839</v>
      </c>
      <c r="B492" s="2">
        <v>41</v>
      </c>
      <c r="C492" s="2">
        <v>2023</v>
      </c>
      <c r="D492" s="3" t="s">
        <v>27</v>
      </c>
      <c r="E492" s="4">
        <v>6572</v>
      </c>
      <c r="F492" s="5">
        <v>86749530.989999995</v>
      </c>
      <c r="G492" s="5">
        <v>19188996.260000002</v>
      </c>
      <c r="H492" s="6">
        <v>22.12</v>
      </c>
      <c r="I492" s="6">
        <v>9.83</v>
      </c>
      <c r="J492" s="5">
        <v>2637.85</v>
      </c>
      <c r="K492" s="5">
        <v>5572.07</v>
      </c>
      <c r="L492" s="5">
        <v>86724337.069999993</v>
      </c>
      <c r="M492" s="5">
        <v>86736735.930000007</v>
      </c>
      <c r="N492" s="5">
        <v>25193.919999999998</v>
      </c>
      <c r="O492" s="5">
        <v>86739299.310000002</v>
      </c>
      <c r="P492" s="5">
        <v>86733025.659999996</v>
      </c>
      <c r="Q492" s="5">
        <v>6273.65</v>
      </c>
      <c r="R492" s="5">
        <v>8527478.9000000004</v>
      </c>
      <c r="S492" s="5">
        <v>10661517.359999999</v>
      </c>
      <c r="T492" s="5">
        <v>65462.37</v>
      </c>
      <c r="U492" s="5">
        <v>44658.44</v>
      </c>
      <c r="V492" s="5">
        <v>10237.76</v>
      </c>
      <c r="W492" s="5">
        <v>4724.4799999999996</v>
      </c>
      <c r="X492" s="5">
        <v>1618.8</v>
      </c>
      <c r="Y492" s="4">
        <v>1942495</v>
      </c>
    </row>
    <row r="493" spans="1:25" ht="16.05" customHeight="1" x14ac:dyDescent="0.3">
      <c r="A493" s="7">
        <v>2909</v>
      </c>
      <c r="B493" s="7">
        <v>42</v>
      </c>
      <c r="C493" s="7">
        <v>2023</v>
      </c>
      <c r="D493" s="8" t="s">
        <v>27</v>
      </c>
      <c r="E493" s="9">
        <v>5253</v>
      </c>
      <c r="F493" s="10">
        <v>192958661.90000001</v>
      </c>
      <c r="G493" s="10">
        <v>45962753.259999998</v>
      </c>
      <c r="H493" s="11">
        <v>23.82</v>
      </c>
      <c r="I493" s="11">
        <v>17.98</v>
      </c>
      <c r="J493" s="10">
        <v>9290.08</v>
      </c>
      <c r="K493" s="10">
        <v>15563.87</v>
      </c>
      <c r="L493" s="10">
        <v>192894076.30000001</v>
      </c>
      <c r="M493" s="10">
        <v>192947343.69999999</v>
      </c>
      <c r="N493" s="10">
        <v>64585.54</v>
      </c>
      <c r="O493" s="10">
        <v>192901447.30000001</v>
      </c>
      <c r="P493" s="10">
        <v>192893628.80000001</v>
      </c>
      <c r="Q493" s="10">
        <v>7818.46</v>
      </c>
      <c r="R493" s="10">
        <v>34693967.409999996</v>
      </c>
      <c r="S493" s="10">
        <v>11268785.85</v>
      </c>
      <c r="T493" s="10">
        <v>21802.37</v>
      </c>
      <c r="U493" s="10">
        <v>40458.870000000003</v>
      </c>
      <c r="V493" s="10">
        <v>1741.92</v>
      </c>
      <c r="W493" s="10">
        <v>5629.02</v>
      </c>
      <c r="X493" s="10">
        <v>3240.68</v>
      </c>
      <c r="Y493" s="9">
        <v>4691218</v>
      </c>
    </row>
    <row r="494" spans="1:25" ht="16.05" customHeight="1" x14ac:dyDescent="0.3">
      <c r="A494" s="2">
        <v>2979</v>
      </c>
      <c r="B494" s="2">
        <v>43</v>
      </c>
      <c r="C494" s="2">
        <v>2023</v>
      </c>
      <c r="D494" s="3" t="s">
        <v>27</v>
      </c>
      <c r="E494" s="4">
        <v>4916</v>
      </c>
      <c r="F494" s="5">
        <v>249119891.19999999</v>
      </c>
      <c r="G494" s="5">
        <v>27876515.82</v>
      </c>
      <c r="H494" s="6">
        <v>11.19</v>
      </c>
      <c r="I494" s="6">
        <v>13.65</v>
      </c>
      <c r="J494" s="5">
        <v>6180.92</v>
      </c>
      <c r="K494" s="5">
        <v>6414.09</v>
      </c>
      <c r="L494" s="5">
        <v>249076017</v>
      </c>
      <c r="M494" s="5">
        <v>249098767.5</v>
      </c>
      <c r="N494" s="5">
        <v>43874.12</v>
      </c>
      <c r="O494" s="5">
        <v>249091165.5</v>
      </c>
      <c r="P494" s="5">
        <v>249088031.80000001</v>
      </c>
      <c r="Q494" s="5">
        <v>3133.77</v>
      </c>
      <c r="R494" s="5">
        <v>34004865.140000001</v>
      </c>
      <c r="S494" s="5">
        <v>-6128349.3200000003</v>
      </c>
      <c r="T494" s="5">
        <v>119857.8</v>
      </c>
      <c r="U494" s="5">
        <v>52899.51</v>
      </c>
      <c r="V494" s="5">
        <v>8300.23</v>
      </c>
      <c r="W494" s="5">
        <v>6848.28</v>
      </c>
      <c r="X494" s="5">
        <v>2780.67</v>
      </c>
      <c r="Y494" s="4">
        <v>1264359</v>
      </c>
    </row>
    <row r="495" spans="1:25" ht="16.05" customHeight="1" x14ac:dyDescent="0.3">
      <c r="A495" s="7">
        <v>3049</v>
      </c>
      <c r="B495" s="7">
        <v>44</v>
      </c>
      <c r="C495" s="7">
        <v>2023</v>
      </c>
      <c r="D495" s="8" t="s">
        <v>27</v>
      </c>
      <c r="E495" s="9">
        <v>5623</v>
      </c>
      <c r="F495" s="10">
        <v>102626208.59999999</v>
      </c>
      <c r="G495" s="10">
        <v>16625445.800000001</v>
      </c>
      <c r="H495" s="11">
        <v>16.2</v>
      </c>
      <c r="I495" s="11">
        <v>11.75</v>
      </c>
      <c r="J495" s="10">
        <v>8531.4599999999991</v>
      </c>
      <c r="K495" s="10">
        <v>19179.240000000002</v>
      </c>
      <c r="L495" s="10">
        <v>102590652.90000001</v>
      </c>
      <c r="M495" s="10">
        <v>102603615.2</v>
      </c>
      <c r="N495" s="10">
        <v>35555.74</v>
      </c>
      <c r="O495" s="10">
        <v>102601064.90000001</v>
      </c>
      <c r="P495" s="10">
        <v>102598803.8</v>
      </c>
      <c r="Q495" s="10">
        <v>2261.06</v>
      </c>
      <c r="R495" s="10">
        <v>12058579.51</v>
      </c>
      <c r="S495" s="10">
        <v>4566866.28</v>
      </c>
      <c r="T495" s="10">
        <v>19683.91</v>
      </c>
      <c r="U495" s="10">
        <v>59525.49</v>
      </c>
      <c r="V495" s="10">
        <v>5127.37</v>
      </c>
      <c r="W495" s="10">
        <v>5284.63</v>
      </c>
      <c r="X495" s="10">
        <v>3156.34</v>
      </c>
      <c r="Y495" s="9">
        <v>1030237</v>
      </c>
    </row>
    <row r="496" spans="1:25" ht="16.05" customHeight="1" x14ac:dyDescent="0.3">
      <c r="A496" s="2">
        <v>3119</v>
      </c>
      <c r="B496" s="2">
        <v>45</v>
      </c>
      <c r="C496" s="2">
        <v>2023</v>
      </c>
      <c r="D496" s="3" t="s">
        <v>27</v>
      </c>
      <c r="E496" s="4">
        <v>880</v>
      </c>
      <c r="F496" s="5">
        <v>8745919.2599999998</v>
      </c>
      <c r="G496" s="5">
        <v>1961709.69</v>
      </c>
      <c r="H496" s="6">
        <v>22.43</v>
      </c>
      <c r="I496" s="6">
        <v>10.119999999999999</v>
      </c>
      <c r="J496" s="5">
        <v>11097.44</v>
      </c>
      <c r="K496" s="5">
        <v>7334.96</v>
      </c>
      <c r="L496" s="5">
        <v>8733816.8900000006</v>
      </c>
      <c r="M496" s="5">
        <v>8727707.8000000007</v>
      </c>
      <c r="N496" s="5">
        <v>12102.37</v>
      </c>
      <c r="O496" s="5">
        <v>8743090.4900000002</v>
      </c>
      <c r="P496" s="5">
        <v>8735616.4499999993</v>
      </c>
      <c r="Q496" s="5">
        <v>7474.04</v>
      </c>
      <c r="R496" s="5">
        <v>885087.03</v>
      </c>
      <c r="S496" s="5">
        <v>1076622.6599999999</v>
      </c>
      <c r="T496" s="5">
        <v>33037.120000000003</v>
      </c>
      <c r="U496" s="5">
        <v>26115.42</v>
      </c>
      <c r="V496" s="5">
        <v>4889.1499999999996</v>
      </c>
      <c r="W496" s="5">
        <v>4384.45</v>
      </c>
      <c r="X496" s="5">
        <v>2213.4299999999998</v>
      </c>
      <c r="Y496" s="4">
        <v>3438588</v>
      </c>
    </row>
    <row r="497" spans="1:25" ht="16.05" customHeight="1" x14ac:dyDescent="0.3">
      <c r="A497" s="7">
        <v>3189</v>
      </c>
      <c r="B497" s="7">
        <v>46</v>
      </c>
      <c r="C497" s="7">
        <v>2023</v>
      </c>
      <c r="D497" s="8" t="s">
        <v>27</v>
      </c>
      <c r="E497" s="9">
        <v>5728</v>
      </c>
      <c r="F497" s="10">
        <v>35606810.520000003</v>
      </c>
      <c r="G497" s="10">
        <v>3667501.48</v>
      </c>
      <c r="H497" s="11">
        <v>10.3</v>
      </c>
      <c r="I497" s="11">
        <v>9.66</v>
      </c>
      <c r="J497" s="10">
        <v>10220</v>
      </c>
      <c r="K497" s="10">
        <v>18248.34</v>
      </c>
      <c r="L497" s="10">
        <v>35585625.130000003</v>
      </c>
      <c r="M497" s="10">
        <v>35591626.799999997</v>
      </c>
      <c r="N497" s="10">
        <v>21185.39</v>
      </c>
      <c r="O497" s="10">
        <v>35602101.049999997</v>
      </c>
      <c r="P497" s="10">
        <v>35596307.210000001</v>
      </c>
      <c r="Q497" s="10">
        <v>5793.84</v>
      </c>
      <c r="R497" s="10">
        <v>3439617.9</v>
      </c>
      <c r="S497" s="10">
        <v>227883.59</v>
      </c>
      <c r="T497" s="10">
        <v>19757.009999999998</v>
      </c>
      <c r="U497" s="10">
        <v>9407.43</v>
      </c>
      <c r="V497" s="10">
        <v>11434.36</v>
      </c>
      <c r="W497" s="10">
        <v>5041.5600000000004</v>
      </c>
      <c r="X497" s="10">
        <v>3538.02</v>
      </c>
      <c r="Y497" s="9">
        <v>4521872</v>
      </c>
    </row>
    <row r="498" spans="1:25" ht="16.05" customHeight="1" x14ac:dyDescent="0.3">
      <c r="A498" s="2">
        <v>3259</v>
      </c>
      <c r="B498" s="2">
        <v>47</v>
      </c>
      <c r="C498" s="2">
        <v>2023</v>
      </c>
      <c r="D498" s="3" t="s">
        <v>27</v>
      </c>
      <c r="E498" s="4">
        <v>6827</v>
      </c>
      <c r="F498" s="5">
        <v>356421560.5</v>
      </c>
      <c r="G498" s="5">
        <v>68040875.900000006</v>
      </c>
      <c r="H498" s="6">
        <v>19.09</v>
      </c>
      <c r="I498" s="6">
        <v>15.86</v>
      </c>
      <c r="J498" s="5">
        <v>1977.6</v>
      </c>
      <c r="K498" s="5">
        <v>9324.23</v>
      </c>
      <c r="L498" s="5">
        <v>356345505.60000002</v>
      </c>
      <c r="M498" s="5">
        <v>356416050.60000002</v>
      </c>
      <c r="N498" s="5">
        <v>76054.92</v>
      </c>
      <c r="O498" s="5">
        <v>356350821.5</v>
      </c>
      <c r="P498" s="5">
        <v>356341093.60000002</v>
      </c>
      <c r="Q498" s="5">
        <v>9727.9500000000007</v>
      </c>
      <c r="R498" s="5">
        <v>56528459.490000002</v>
      </c>
      <c r="S498" s="5">
        <v>11512416.4</v>
      </c>
      <c r="T498" s="5">
        <v>117827</v>
      </c>
      <c r="U498" s="5">
        <v>59688.46</v>
      </c>
      <c r="V498" s="5">
        <v>3924.6</v>
      </c>
      <c r="W498" s="5">
        <v>1391.34</v>
      </c>
      <c r="X498" s="5">
        <v>3816.83</v>
      </c>
      <c r="Y498" s="4">
        <v>3104925</v>
      </c>
    </row>
    <row r="499" spans="1:25" ht="16.05" customHeight="1" x14ac:dyDescent="0.3">
      <c r="A499" s="7">
        <v>3329</v>
      </c>
      <c r="B499" s="7">
        <v>48</v>
      </c>
      <c r="C499" s="7">
        <v>2023</v>
      </c>
      <c r="D499" s="8" t="s">
        <v>27</v>
      </c>
      <c r="E499" s="9">
        <v>6386</v>
      </c>
      <c r="F499" s="10">
        <v>402928563.19999999</v>
      </c>
      <c r="G499" s="10">
        <v>54999748.869999997</v>
      </c>
      <c r="H499" s="11">
        <v>13.65</v>
      </c>
      <c r="I499" s="11">
        <v>11.81</v>
      </c>
      <c r="J499" s="10">
        <v>2079.5100000000002</v>
      </c>
      <c r="K499" s="10">
        <v>10333.94</v>
      </c>
      <c r="L499" s="10">
        <v>402876670.39999998</v>
      </c>
      <c r="M499" s="10">
        <v>402917027.60000002</v>
      </c>
      <c r="N499" s="10">
        <v>51892.74</v>
      </c>
      <c r="O499" s="10">
        <v>402888524.19999999</v>
      </c>
      <c r="P499" s="10">
        <v>402876374.69999999</v>
      </c>
      <c r="Q499" s="10">
        <v>12149.48</v>
      </c>
      <c r="R499" s="10">
        <v>47585863.310000002</v>
      </c>
      <c r="S499" s="10">
        <v>7413885.5599999996</v>
      </c>
      <c r="T499" s="10">
        <v>58267.45</v>
      </c>
      <c r="U499" s="10">
        <v>55210.05</v>
      </c>
      <c r="V499" s="10">
        <v>6336.47</v>
      </c>
      <c r="W499" s="10">
        <v>5517.31</v>
      </c>
      <c r="X499" s="10">
        <v>4184.18</v>
      </c>
      <c r="Y499" s="9">
        <v>1910525</v>
      </c>
    </row>
    <row r="500" spans="1:25" ht="16.05" customHeight="1" x14ac:dyDescent="0.3">
      <c r="A500" s="2">
        <v>3399</v>
      </c>
      <c r="B500" s="2">
        <v>49</v>
      </c>
      <c r="C500" s="2">
        <v>2023</v>
      </c>
      <c r="D500" s="3" t="s">
        <v>27</v>
      </c>
      <c r="E500" s="4">
        <v>5340</v>
      </c>
      <c r="F500" s="5">
        <v>175285674.59999999</v>
      </c>
      <c r="G500" s="5">
        <v>37826648.579999998</v>
      </c>
      <c r="H500" s="6">
        <v>21.58</v>
      </c>
      <c r="I500" s="6">
        <v>15.17</v>
      </c>
      <c r="J500" s="5">
        <v>1112.3499999999999</v>
      </c>
      <c r="K500" s="5">
        <v>17704.07</v>
      </c>
      <c r="L500" s="5">
        <v>175220638.80000001</v>
      </c>
      <c r="M500" s="5">
        <v>175271917.09999999</v>
      </c>
      <c r="N500" s="5">
        <v>65035.81</v>
      </c>
      <c r="O500" s="5">
        <v>175225214.69999999</v>
      </c>
      <c r="P500" s="5">
        <v>175218060.09999999</v>
      </c>
      <c r="Q500" s="5">
        <v>7154.56</v>
      </c>
      <c r="R500" s="5">
        <v>26590836.84</v>
      </c>
      <c r="S500" s="5">
        <v>11235811.74</v>
      </c>
      <c r="T500" s="5">
        <v>67100.94</v>
      </c>
      <c r="U500" s="5">
        <v>9104.65</v>
      </c>
      <c r="V500" s="5">
        <v>3496.03</v>
      </c>
      <c r="W500" s="5">
        <v>1079.8900000000001</v>
      </c>
      <c r="X500" s="5">
        <v>4244.42</v>
      </c>
      <c r="Y500" s="4">
        <v>3349316</v>
      </c>
    </row>
    <row r="501" spans="1:25" ht="16.05" customHeight="1" x14ac:dyDescent="0.3">
      <c r="A501" s="7">
        <v>3469</v>
      </c>
      <c r="B501" s="7">
        <v>50</v>
      </c>
      <c r="C501" s="7">
        <v>2023</v>
      </c>
      <c r="D501" s="8" t="s">
        <v>27</v>
      </c>
      <c r="E501" s="9">
        <v>5384</v>
      </c>
      <c r="F501" s="10">
        <v>117536368.09999999</v>
      </c>
      <c r="G501" s="10">
        <v>32757385.780000001</v>
      </c>
      <c r="H501" s="11">
        <v>27.87</v>
      </c>
      <c r="I501" s="11">
        <v>13.59</v>
      </c>
      <c r="J501" s="10">
        <v>4921.87</v>
      </c>
      <c r="K501" s="10">
        <v>9430.94</v>
      </c>
      <c r="L501" s="10">
        <v>117465458.5</v>
      </c>
      <c r="M501" s="10">
        <v>117513460.2</v>
      </c>
      <c r="N501" s="10">
        <v>70909.58</v>
      </c>
      <c r="O501" s="10">
        <v>117479653.5</v>
      </c>
      <c r="P501" s="10">
        <v>117468183.5</v>
      </c>
      <c r="Q501" s="10">
        <v>11469.95</v>
      </c>
      <c r="R501" s="10">
        <v>15973192.42</v>
      </c>
      <c r="S501" s="10">
        <v>16784193.359999999</v>
      </c>
      <c r="T501" s="10">
        <v>77140.070000000007</v>
      </c>
      <c r="U501" s="10">
        <v>58181.58</v>
      </c>
      <c r="V501" s="10">
        <v>10547.25</v>
      </c>
      <c r="W501" s="10">
        <v>3647.73</v>
      </c>
      <c r="X501" s="10">
        <v>4336.99</v>
      </c>
      <c r="Y501" s="9">
        <v>4452716</v>
      </c>
    </row>
    <row r="502" spans="1:25" ht="16.05" customHeight="1" x14ac:dyDescent="0.3">
      <c r="A502" s="2">
        <v>9</v>
      </c>
      <c r="B502" s="2">
        <v>1</v>
      </c>
      <c r="C502" s="2">
        <v>2023</v>
      </c>
      <c r="D502" s="3" t="s">
        <v>28</v>
      </c>
      <c r="E502" s="4">
        <v>3418</v>
      </c>
      <c r="F502" s="5">
        <v>238644578.90000001</v>
      </c>
      <c r="G502" s="5">
        <v>48683494.100000001</v>
      </c>
      <c r="H502" s="6">
        <v>20.399999999999999</v>
      </c>
      <c r="I502" s="6">
        <v>9.6999999999999993</v>
      </c>
      <c r="J502" s="5">
        <v>7270.67</v>
      </c>
      <c r="K502" s="5">
        <v>2479.39</v>
      </c>
      <c r="L502" s="5">
        <v>238584046.5</v>
      </c>
      <c r="M502" s="5">
        <v>238619099.40000001</v>
      </c>
      <c r="N502" s="5">
        <v>60532.41</v>
      </c>
      <c r="O502" s="5">
        <v>238595213.40000001</v>
      </c>
      <c r="P502" s="5">
        <v>238587712.90000001</v>
      </c>
      <c r="Q502" s="5">
        <v>7500.5</v>
      </c>
      <c r="R502" s="5">
        <v>23148524.149999999</v>
      </c>
      <c r="S502" s="5">
        <v>25534969.940000001</v>
      </c>
      <c r="T502" s="5">
        <v>48827.67</v>
      </c>
      <c r="U502" s="5">
        <v>33958.71</v>
      </c>
      <c r="V502" s="5">
        <v>8483.02</v>
      </c>
      <c r="W502" s="5">
        <v>2683.92</v>
      </c>
      <c r="X502" s="5">
        <v>1484.67</v>
      </c>
      <c r="Y502" s="4">
        <v>1330837</v>
      </c>
    </row>
    <row r="503" spans="1:25" ht="16.05" customHeight="1" x14ac:dyDescent="0.3">
      <c r="A503" s="7">
        <v>79</v>
      </c>
      <c r="B503" s="7">
        <v>2</v>
      </c>
      <c r="C503" s="7">
        <v>2023</v>
      </c>
      <c r="D503" s="8" t="s">
        <v>28</v>
      </c>
      <c r="E503" s="9">
        <v>5505</v>
      </c>
      <c r="F503" s="10">
        <v>217536373.19999999</v>
      </c>
      <c r="G503" s="10">
        <v>51425598.619999997</v>
      </c>
      <c r="H503" s="11">
        <v>23.64</v>
      </c>
      <c r="I503" s="11">
        <v>17.39</v>
      </c>
      <c r="J503" s="10">
        <v>11533.56</v>
      </c>
      <c r="K503" s="10">
        <v>18014.37</v>
      </c>
      <c r="L503" s="10">
        <v>217462655.40000001</v>
      </c>
      <c r="M503" s="10">
        <v>217524066.30000001</v>
      </c>
      <c r="N503" s="10">
        <v>73717.81</v>
      </c>
      <c r="O503" s="10">
        <v>217468041.69999999</v>
      </c>
      <c r="P503" s="10">
        <v>217459322.59999999</v>
      </c>
      <c r="Q503" s="10">
        <v>8719.07</v>
      </c>
      <c r="R503" s="10">
        <v>37829575.289999999</v>
      </c>
      <c r="S503" s="10">
        <v>13596023.32</v>
      </c>
      <c r="T503" s="10">
        <v>20195.740000000002</v>
      </c>
      <c r="U503" s="10">
        <v>53173.43</v>
      </c>
      <c r="V503" s="10">
        <v>1401.71</v>
      </c>
      <c r="W503" s="10">
        <v>3984.6</v>
      </c>
      <c r="X503" s="10">
        <v>3366.63</v>
      </c>
      <c r="Y503" s="9">
        <v>2708190</v>
      </c>
    </row>
    <row r="504" spans="1:25" ht="16.05" customHeight="1" x14ac:dyDescent="0.3">
      <c r="A504" s="2">
        <v>149</v>
      </c>
      <c r="B504" s="2">
        <v>3</v>
      </c>
      <c r="C504" s="2">
        <v>2023</v>
      </c>
      <c r="D504" s="3" t="s">
        <v>28</v>
      </c>
      <c r="E504" s="4">
        <v>3303</v>
      </c>
      <c r="F504" s="5">
        <v>181352324.59999999</v>
      </c>
      <c r="G504" s="5">
        <v>39824970.490000002</v>
      </c>
      <c r="H504" s="6">
        <v>21.96</v>
      </c>
      <c r="I504" s="6">
        <v>19.45</v>
      </c>
      <c r="J504" s="5">
        <v>7424.34</v>
      </c>
      <c r="K504" s="5">
        <v>18171.96</v>
      </c>
      <c r="L504" s="5">
        <v>181331207.09999999</v>
      </c>
      <c r="M504" s="5">
        <v>181335551.30000001</v>
      </c>
      <c r="N504" s="5">
        <v>21117.52</v>
      </c>
      <c r="O504" s="5">
        <v>181344699.30000001</v>
      </c>
      <c r="P504" s="5">
        <v>181339853.59999999</v>
      </c>
      <c r="Q504" s="5">
        <v>4845.72</v>
      </c>
      <c r="R504" s="5">
        <v>35273027.140000001</v>
      </c>
      <c r="S504" s="5">
        <v>4551943.3499999996</v>
      </c>
      <c r="T504" s="5">
        <v>108484.44</v>
      </c>
      <c r="U504" s="5">
        <v>33540.120000000003</v>
      </c>
      <c r="V504" s="5">
        <v>9044.23</v>
      </c>
      <c r="W504" s="5">
        <v>4447.9799999999996</v>
      </c>
      <c r="X504" s="5">
        <v>4524.76</v>
      </c>
      <c r="Y504" s="4">
        <v>3694934</v>
      </c>
    </row>
    <row r="505" spans="1:25" ht="16.05" customHeight="1" x14ac:dyDescent="0.3">
      <c r="A505" s="7">
        <v>219</v>
      </c>
      <c r="B505" s="7">
        <v>4</v>
      </c>
      <c r="C505" s="7">
        <v>2023</v>
      </c>
      <c r="D505" s="8" t="s">
        <v>28</v>
      </c>
      <c r="E505" s="9">
        <v>3117</v>
      </c>
      <c r="F505" s="10">
        <v>70928086.469999999</v>
      </c>
      <c r="G505" s="10">
        <v>14327473.470000001</v>
      </c>
      <c r="H505" s="11">
        <v>20.2</v>
      </c>
      <c r="I505" s="11">
        <v>13.1</v>
      </c>
      <c r="J505" s="10">
        <v>1632.2</v>
      </c>
      <c r="K505" s="10">
        <v>6533.48</v>
      </c>
      <c r="L505" s="10">
        <v>70877798.769999996</v>
      </c>
      <c r="M505" s="10">
        <v>70902848.670000002</v>
      </c>
      <c r="N505" s="10">
        <v>50287.7</v>
      </c>
      <c r="O505" s="10">
        <v>70883753.609999999</v>
      </c>
      <c r="P505" s="10">
        <v>70870818.010000005</v>
      </c>
      <c r="Q505" s="10">
        <v>12935.6</v>
      </c>
      <c r="R505" s="10">
        <v>9291579.3300000001</v>
      </c>
      <c r="S505" s="10">
        <v>5035894.1399999997</v>
      </c>
      <c r="T505" s="10">
        <v>47920.46</v>
      </c>
      <c r="U505" s="10">
        <v>54266.720000000001</v>
      </c>
      <c r="V505" s="10">
        <v>5116.6400000000003</v>
      </c>
      <c r="W505" s="10">
        <v>838.2</v>
      </c>
      <c r="X505" s="10">
        <v>4795.42</v>
      </c>
      <c r="Y505" s="9">
        <v>3440524</v>
      </c>
    </row>
    <row r="506" spans="1:25" ht="16.05" customHeight="1" x14ac:dyDescent="0.3">
      <c r="A506" s="2">
        <v>289</v>
      </c>
      <c r="B506" s="2">
        <v>5</v>
      </c>
      <c r="C506" s="2">
        <v>2023</v>
      </c>
      <c r="D506" s="3" t="s">
        <v>28</v>
      </c>
      <c r="E506" s="4">
        <v>605</v>
      </c>
      <c r="F506" s="5">
        <v>39847509.469999999</v>
      </c>
      <c r="G506" s="5">
        <v>8662848.5600000005</v>
      </c>
      <c r="H506" s="6">
        <v>21.74</v>
      </c>
      <c r="I506" s="6">
        <v>15.51</v>
      </c>
      <c r="J506" s="5">
        <v>9426.9699999999993</v>
      </c>
      <c r="K506" s="5">
        <v>3596.68</v>
      </c>
      <c r="L506" s="5">
        <v>39781211.590000004</v>
      </c>
      <c r="M506" s="5">
        <v>39825127.859999999</v>
      </c>
      <c r="N506" s="5">
        <v>66297.88</v>
      </c>
      <c r="O506" s="5">
        <v>39786969.409999996</v>
      </c>
      <c r="P506" s="5">
        <v>39779123.43</v>
      </c>
      <c r="Q506" s="5">
        <v>7845.98</v>
      </c>
      <c r="R506" s="5">
        <v>6180348.7199999997</v>
      </c>
      <c r="S506" s="5">
        <v>2482499.84</v>
      </c>
      <c r="T506" s="5">
        <v>75306.67</v>
      </c>
      <c r="U506" s="5">
        <v>34332.79</v>
      </c>
      <c r="V506" s="5">
        <v>4187.18</v>
      </c>
      <c r="W506" s="5">
        <v>1570.64</v>
      </c>
      <c r="X506" s="5">
        <v>4502.17</v>
      </c>
      <c r="Y506" s="4">
        <v>4038215</v>
      </c>
    </row>
    <row r="507" spans="1:25" ht="16.05" customHeight="1" x14ac:dyDescent="0.3">
      <c r="A507" s="7">
        <v>359</v>
      </c>
      <c r="B507" s="7">
        <v>6</v>
      </c>
      <c r="C507" s="7">
        <v>2023</v>
      </c>
      <c r="D507" s="8" t="s">
        <v>28</v>
      </c>
      <c r="E507" s="9">
        <v>6217</v>
      </c>
      <c r="F507" s="10">
        <v>183417942.30000001</v>
      </c>
      <c r="G507" s="10">
        <v>46294688.630000003</v>
      </c>
      <c r="H507" s="11">
        <v>25.24</v>
      </c>
      <c r="I507" s="11">
        <v>8.84</v>
      </c>
      <c r="J507" s="10">
        <v>1858.87</v>
      </c>
      <c r="K507" s="10">
        <v>18593.2</v>
      </c>
      <c r="L507" s="10">
        <v>183395502.59999999</v>
      </c>
      <c r="M507" s="10">
        <v>183410868.90000001</v>
      </c>
      <c r="N507" s="10">
        <v>22439.65</v>
      </c>
      <c r="O507" s="10">
        <v>183405735.90000001</v>
      </c>
      <c r="P507" s="10">
        <v>183400414</v>
      </c>
      <c r="Q507" s="10">
        <v>5321.89</v>
      </c>
      <c r="R507" s="10">
        <v>16214146.1</v>
      </c>
      <c r="S507" s="10">
        <v>30080542.530000001</v>
      </c>
      <c r="T507" s="10">
        <v>62918.18</v>
      </c>
      <c r="U507" s="10">
        <v>29297.06</v>
      </c>
      <c r="V507" s="10">
        <v>3197.22</v>
      </c>
      <c r="W507" s="10">
        <v>7036.06</v>
      </c>
      <c r="X507" s="10">
        <v>2591.35</v>
      </c>
      <c r="Y507" s="9">
        <v>2096090</v>
      </c>
    </row>
    <row r="508" spans="1:25" ht="16.05" customHeight="1" x14ac:dyDescent="0.3">
      <c r="A508" s="2">
        <v>429</v>
      </c>
      <c r="B508" s="2">
        <v>7</v>
      </c>
      <c r="C508" s="2">
        <v>2023</v>
      </c>
      <c r="D508" s="3" t="s">
        <v>28</v>
      </c>
      <c r="E508" s="4">
        <v>1902</v>
      </c>
      <c r="F508" s="5">
        <v>66345090.100000001</v>
      </c>
      <c r="G508" s="5">
        <v>11245492.77</v>
      </c>
      <c r="H508" s="6">
        <v>16.95</v>
      </c>
      <c r="I508" s="6">
        <v>16.04</v>
      </c>
      <c r="J508" s="5">
        <v>13800.62</v>
      </c>
      <c r="K508" s="5">
        <v>11529.29</v>
      </c>
      <c r="L508" s="5">
        <v>66281309.039999999</v>
      </c>
      <c r="M508" s="5">
        <v>66325088.719999999</v>
      </c>
      <c r="N508" s="5">
        <v>63781.06</v>
      </c>
      <c r="O508" s="5">
        <v>66298206.450000003</v>
      </c>
      <c r="P508" s="5">
        <v>66285590.109999999</v>
      </c>
      <c r="Q508" s="5">
        <v>12616.34</v>
      </c>
      <c r="R508" s="5">
        <v>10641752.449999999</v>
      </c>
      <c r="S508" s="5">
        <v>603740.31999999995</v>
      </c>
      <c r="T508" s="5">
        <v>74831.11</v>
      </c>
      <c r="U508" s="5">
        <v>32226.71</v>
      </c>
      <c r="V508" s="5">
        <v>11169.05</v>
      </c>
      <c r="W508" s="5">
        <v>5728.36</v>
      </c>
      <c r="X508" s="5">
        <v>3077.51</v>
      </c>
      <c r="Y508" s="4">
        <v>1791806</v>
      </c>
    </row>
    <row r="509" spans="1:25" ht="16.05" customHeight="1" x14ac:dyDescent="0.3">
      <c r="A509" s="7">
        <v>499</v>
      </c>
      <c r="B509" s="7">
        <v>8</v>
      </c>
      <c r="C509" s="7">
        <v>2023</v>
      </c>
      <c r="D509" s="8" t="s">
        <v>28</v>
      </c>
      <c r="E509" s="9">
        <v>5111</v>
      </c>
      <c r="F509" s="10">
        <v>93026403.739999995</v>
      </c>
      <c r="G509" s="10">
        <v>22065862.969999999</v>
      </c>
      <c r="H509" s="11">
        <v>23.72</v>
      </c>
      <c r="I509" s="11">
        <v>5.43</v>
      </c>
      <c r="J509" s="10">
        <v>8413.42</v>
      </c>
      <c r="K509" s="10">
        <v>13579.61</v>
      </c>
      <c r="L509" s="10">
        <v>92950876.819999993</v>
      </c>
      <c r="M509" s="10">
        <v>93018601.260000005</v>
      </c>
      <c r="N509" s="10">
        <v>75526.92</v>
      </c>
      <c r="O509" s="10">
        <v>92959272.200000003</v>
      </c>
      <c r="P509" s="10">
        <v>92951881.980000004</v>
      </c>
      <c r="Q509" s="10">
        <v>7390.22</v>
      </c>
      <c r="R509" s="10">
        <v>5051333.72</v>
      </c>
      <c r="S509" s="10">
        <v>17014529.239999998</v>
      </c>
      <c r="T509" s="10">
        <v>57791.59</v>
      </c>
      <c r="U509" s="10">
        <v>20885.099999999999</v>
      </c>
      <c r="V509" s="10">
        <v>2395.25</v>
      </c>
      <c r="W509" s="10">
        <v>6000.13</v>
      </c>
      <c r="X509" s="10">
        <v>4671.5</v>
      </c>
      <c r="Y509" s="9">
        <v>3996443</v>
      </c>
    </row>
    <row r="510" spans="1:25" ht="16.05" customHeight="1" x14ac:dyDescent="0.3">
      <c r="A510" s="2">
        <v>569</v>
      </c>
      <c r="B510" s="2">
        <v>9</v>
      </c>
      <c r="C510" s="2">
        <v>2023</v>
      </c>
      <c r="D510" s="3" t="s">
        <v>28</v>
      </c>
      <c r="E510" s="4">
        <v>6635</v>
      </c>
      <c r="F510" s="5">
        <v>174686229.09999999</v>
      </c>
      <c r="G510" s="5">
        <v>25626469.809999999</v>
      </c>
      <c r="H510" s="6">
        <v>14.67</v>
      </c>
      <c r="I510" s="6">
        <v>5.98</v>
      </c>
      <c r="J510" s="5">
        <v>13552.02</v>
      </c>
      <c r="K510" s="5">
        <v>15603.72</v>
      </c>
      <c r="L510" s="5">
        <v>174628012.5</v>
      </c>
      <c r="M510" s="5">
        <v>174674709.19999999</v>
      </c>
      <c r="N510" s="5">
        <v>58216.63</v>
      </c>
      <c r="O510" s="5">
        <v>174640085.40000001</v>
      </c>
      <c r="P510" s="5">
        <v>174626244.5</v>
      </c>
      <c r="Q510" s="5">
        <v>13840.89</v>
      </c>
      <c r="R510" s="5">
        <v>10446236.5</v>
      </c>
      <c r="S510" s="5">
        <v>15180233.310000001</v>
      </c>
      <c r="T510" s="5">
        <v>14559.53</v>
      </c>
      <c r="U510" s="5">
        <v>19559.39</v>
      </c>
      <c r="V510" s="5">
        <v>8580.27</v>
      </c>
      <c r="W510" s="5">
        <v>3492.64</v>
      </c>
      <c r="X510" s="5">
        <v>2166.75</v>
      </c>
      <c r="Y510" s="4">
        <v>2827366</v>
      </c>
    </row>
    <row r="511" spans="1:25" ht="16.05" customHeight="1" x14ac:dyDescent="0.3">
      <c r="A511" s="7">
        <v>639</v>
      </c>
      <c r="B511" s="7">
        <v>10</v>
      </c>
      <c r="C511" s="7">
        <v>2023</v>
      </c>
      <c r="D511" s="8" t="s">
        <v>28</v>
      </c>
      <c r="E511" s="9">
        <v>2744</v>
      </c>
      <c r="F511" s="10">
        <v>43927719.369999997</v>
      </c>
      <c r="G511" s="10">
        <v>2350132.9900000002</v>
      </c>
      <c r="H511" s="11">
        <v>5.35</v>
      </c>
      <c r="I511" s="11">
        <v>10.19</v>
      </c>
      <c r="J511" s="10">
        <v>4724.3999999999996</v>
      </c>
      <c r="K511" s="10">
        <v>2434.5500000000002</v>
      </c>
      <c r="L511" s="10">
        <v>43907948.469999999</v>
      </c>
      <c r="M511" s="10">
        <v>43906678.079999998</v>
      </c>
      <c r="N511" s="10">
        <v>19770.900000000001</v>
      </c>
      <c r="O511" s="10">
        <v>43918310.07</v>
      </c>
      <c r="P511" s="10">
        <v>43917224.079999998</v>
      </c>
      <c r="Q511" s="10">
        <v>1085.99</v>
      </c>
      <c r="R511" s="10">
        <v>4476234.5999999996</v>
      </c>
      <c r="S511" s="10">
        <v>-2126101.62</v>
      </c>
      <c r="T511" s="10">
        <v>54712.4</v>
      </c>
      <c r="U511" s="10">
        <v>6951.88</v>
      </c>
      <c r="V511" s="10">
        <v>8929.7000000000007</v>
      </c>
      <c r="W511" s="10">
        <v>1431.9</v>
      </c>
      <c r="X511" s="10">
        <v>4818.24</v>
      </c>
      <c r="Y511" s="9">
        <v>1710160</v>
      </c>
    </row>
    <row r="512" spans="1:25" ht="16.05" customHeight="1" x14ac:dyDescent="0.3">
      <c r="A512" s="2">
        <v>709</v>
      </c>
      <c r="B512" s="2">
        <v>11</v>
      </c>
      <c r="C512" s="2">
        <v>2023</v>
      </c>
      <c r="D512" s="3" t="s">
        <v>28</v>
      </c>
      <c r="E512" s="4">
        <v>3318</v>
      </c>
      <c r="F512" s="5">
        <v>158431099.80000001</v>
      </c>
      <c r="G512" s="5">
        <v>35599468.130000003</v>
      </c>
      <c r="H512" s="6">
        <v>22.47</v>
      </c>
      <c r="I512" s="6">
        <v>7.95</v>
      </c>
      <c r="J512" s="5">
        <v>6672.93</v>
      </c>
      <c r="K512" s="5">
        <v>3249.54</v>
      </c>
      <c r="L512" s="5">
        <v>158338541.09999999</v>
      </c>
      <c r="M512" s="5">
        <v>158425566</v>
      </c>
      <c r="N512" s="5">
        <v>92558.77</v>
      </c>
      <c r="O512" s="5">
        <v>158345217.5</v>
      </c>
      <c r="P512" s="5">
        <v>158338410.40000001</v>
      </c>
      <c r="Q512" s="5">
        <v>6807.03</v>
      </c>
      <c r="R512" s="5">
        <v>12595272.439999999</v>
      </c>
      <c r="S512" s="5">
        <v>23004195.699999999</v>
      </c>
      <c r="T512" s="5">
        <v>119838.25</v>
      </c>
      <c r="U512" s="5">
        <v>29823.16</v>
      </c>
      <c r="V512" s="5">
        <v>4505.26</v>
      </c>
      <c r="W512" s="5">
        <v>2171.16</v>
      </c>
      <c r="X512" s="5">
        <v>1053.6199999999999</v>
      </c>
      <c r="Y512" s="4">
        <v>2973813</v>
      </c>
    </row>
    <row r="513" spans="1:25" ht="16.05" customHeight="1" x14ac:dyDescent="0.3">
      <c r="A513" s="7">
        <v>779</v>
      </c>
      <c r="B513" s="7">
        <v>12</v>
      </c>
      <c r="C513" s="7">
        <v>2023</v>
      </c>
      <c r="D513" s="8" t="s">
        <v>28</v>
      </c>
      <c r="E513" s="9">
        <v>4561</v>
      </c>
      <c r="F513" s="10">
        <v>314086758.69999999</v>
      </c>
      <c r="G513" s="10">
        <v>37659002.369999997</v>
      </c>
      <c r="H513" s="11">
        <v>11.99</v>
      </c>
      <c r="I513" s="11">
        <v>18.72</v>
      </c>
      <c r="J513" s="10">
        <v>3821.47</v>
      </c>
      <c r="K513" s="10">
        <v>14655.54</v>
      </c>
      <c r="L513" s="10">
        <v>314034583.69999999</v>
      </c>
      <c r="M513" s="10">
        <v>314079818.89999998</v>
      </c>
      <c r="N513" s="10">
        <v>52175</v>
      </c>
      <c r="O513" s="10">
        <v>314046891.69999999</v>
      </c>
      <c r="P513" s="10">
        <v>314038793.60000002</v>
      </c>
      <c r="Q513" s="10">
        <v>8098.08</v>
      </c>
      <c r="R513" s="10">
        <v>58797041.240000002</v>
      </c>
      <c r="S513" s="10">
        <v>-21138038.859999999</v>
      </c>
      <c r="T513" s="10">
        <v>117868.62</v>
      </c>
      <c r="U513" s="10">
        <v>5816.13</v>
      </c>
      <c r="V513" s="10">
        <v>5127.22</v>
      </c>
      <c r="W513" s="10">
        <v>7180.72</v>
      </c>
      <c r="X513" s="10">
        <v>3786.25</v>
      </c>
      <c r="Y513" s="9">
        <v>2273097</v>
      </c>
    </row>
    <row r="514" spans="1:25" ht="16.05" customHeight="1" x14ac:dyDescent="0.3">
      <c r="A514" s="2">
        <v>849</v>
      </c>
      <c r="B514" s="2">
        <v>13</v>
      </c>
      <c r="C514" s="2">
        <v>2023</v>
      </c>
      <c r="D514" s="3" t="s">
        <v>28</v>
      </c>
      <c r="E514" s="4">
        <v>4202</v>
      </c>
      <c r="F514" s="5">
        <v>98996560.379999995</v>
      </c>
      <c r="G514" s="5">
        <v>25966797.789999999</v>
      </c>
      <c r="H514" s="6">
        <v>26.23</v>
      </c>
      <c r="I514" s="6">
        <v>5.77</v>
      </c>
      <c r="J514" s="5">
        <v>11431.34</v>
      </c>
      <c r="K514" s="5">
        <v>19815.560000000001</v>
      </c>
      <c r="L514" s="5">
        <v>98926227.650000006</v>
      </c>
      <c r="M514" s="5">
        <v>98984760.450000003</v>
      </c>
      <c r="N514" s="5">
        <v>70332.73</v>
      </c>
      <c r="O514" s="5">
        <v>98936401.260000005</v>
      </c>
      <c r="P514" s="5">
        <v>98933227.819999993</v>
      </c>
      <c r="Q514" s="5">
        <v>3173.44</v>
      </c>
      <c r="R514" s="5">
        <v>5712101.5300000003</v>
      </c>
      <c r="S514" s="5">
        <v>20254696.25</v>
      </c>
      <c r="T514" s="5">
        <v>86966.6</v>
      </c>
      <c r="U514" s="5">
        <v>51449.29</v>
      </c>
      <c r="V514" s="5">
        <v>4572.83</v>
      </c>
      <c r="W514" s="5">
        <v>5600.78</v>
      </c>
      <c r="X514" s="5">
        <v>3718.05</v>
      </c>
      <c r="Y514" s="4">
        <v>4019343</v>
      </c>
    </row>
    <row r="515" spans="1:25" ht="16.05" customHeight="1" x14ac:dyDescent="0.3">
      <c r="A515" s="7">
        <v>919</v>
      </c>
      <c r="B515" s="7">
        <v>14</v>
      </c>
      <c r="C515" s="7">
        <v>2023</v>
      </c>
      <c r="D515" s="8" t="s">
        <v>28</v>
      </c>
      <c r="E515" s="9">
        <v>5928</v>
      </c>
      <c r="F515" s="10">
        <v>146756211.40000001</v>
      </c>
      <c r="G515" s="10">
        <v>40460687.469999999</v>
      </c>
      <c r="H515" s="11">
        <v>27.57</v>
      </c>
      <c r="I515" s="11">
        <v>12.38</v>
      </c>
      <c r="J515" s="10">
        <v>10761.97</v>
      </c>
      <c r="K515" s="10">
        <v>6480.09</v>
      </c>
      <c r="L515" s="10">
        <v>146715339.40000001</v>
      </c>
      <c r="M515" s="10">
        <v>146740906.30000001</v>
      </c>
      <c r="N515" s="10">
        <v>40871.949999999997</v>
      </c>
      <c r="O515" s="10">
        <v>146727329.69999999</v>
      </c>
      <c r="P515" s="10">
        <v>146713445.09999999</v>
      </c>
      <c r="Q515" s="10">
        <v>13884.66</v>
      </c>
      <c r="R515" s="10">
        <v>18168418.969999999</v>
      </c>
      <c r="S515" s="10">
        <v>22292268.510000002</v>
      </c>
      <c r="T515" s="10">
        <v>59406.68</v>
      </c>
      <c r="U515" s="10">
        <v>7385.34</v>
      </c>
      <c r="V515" s="10">
        <v>10512.91</v>
      </c>
      <c r="W515" s="10">
        <v>1477.4</v>
      </c>
      <c r="X515" s="10">
        <v>4811.72</v>
      </c>
      <c r="Y515" s="9">
        <v>1584383</v>
      </c>
    </row>
    <row r="516" spans="1:25" ht="16.05" customHeight="1" x14ac:dyDescent="0.3">
      <c r="A516" s="2">
        <v>989</v>
      </c>
      <c r="B516" s="2">
        <v>15</v>
      </c>
      <c r="C516" s="2">
        <v>2023</v>
      </c>
      <c r="D516" s="3" t="s">
        <v>28</v>
      </c>
      <c r="E516" s="4">
        <v>4352</v>
      </c>
      <c r="F516" s="5">
        <v>274518424.30000001</v>
      </c>
      <c r="G516" s="5">
        <v>19984941.289999999</v>
      </c>
      <c r="H516" s="6">
        <v>7.28</v>
      </c>
      <c r="I516" s="6">
        <v>10.75</v>
      </c>
      <c r="J516" s="5">
        <v>14234.88</v>
      </c>
      <c r="K516" s="5">
        <v>4158.8100000000004</v>
      </c>
      <c r="L516" s="5">
        <v>274500570</v>
      </c>
      <c r="M516" s="5">
        <v>274510297.10000002</v>
      </c>
      <c r="N516" s="5">
        <v>17854.37</v>
      </c>
      <c r="O516" s="5">
        <v>274503320</v>
      </c>
      <c r="P516" s="5">
        <v>274500373.5</v>
      </c>
      <c r="Q516" s="5">
        <v>2946.47</v>
      </c>
      <c r="R516" s="5">
        <v>29510730.620000001</v>
      </c>
      <c r="S516" s="5">
        <v>-9525789.3200000003</v>
      </c>
      <c r="T516" s="5">
        <v>76313.97</v>
      </c>
      <c r="U516" s="5">
        <v>20537.62</v>
      </c>
      <c r="V516" s="5">
        <v>1122.58</v>
      </c>
      <c r="W516" s="5">
        <v>1627.47</v>
      </c>
      <c r="X516" s="5">
        <v>2152.44</v>
      </c>
      <c r="Y516" s="4">
        <v>4865783</v>
      </c>
    </row>
    <row r="517" spans="1:25" ht="16.05" customHeight="1" x14ac:dyDescent="0.3">
      <c r="A517" s="7">
        <v>1059</v>
      </c>
      <c r="B517" s="7">
        <v>16</v>
      </c>
      <c r="C517" s="7">
        <v>2023</v>
      </c>
      <c r="D517" s="8" t="s">
        <v>28</v>
      </c>
      <c r="E517" s="9">
        <v>1171</v>
      </c>
      <c r="F517" s="10">
        <v>32010285.949999999</v>
      </c>
      <c r="G517" s="10">
        <v>6514093.1900000004</v>
      </c>
      <c r="H517" s="11">
        <v>20.350000000000001</v>
      </c>
      <c r="I517" s="11">
        <v>5.68</v>
      </c>
      <c r="J517" s="10">
        <v>10537.48</v>
      </c>
      <c r="K517" s="10">
        <v>15197.42</v>
      </c>
      <c r="L517" s="10">
        <v>31996504.120000001</v>
      </c>
      <c r="M517" s="10">
        <v>31988270.489999998</v>
      </c>
      <c r="N517" s="10">
        <v>13781.83</v>
      </c>
      <c r="O517" s="10">
        <v>32002021.690000001</v>
      </c>
      <c r="P517" s="10">
        <v>32000658.16</v>
      </c>
      <c r="Q517" s="10">
        <v>1363.53</v>
      </c>
      <c r="R517" s="10">
        <v>1818184.24</v>
      </c>
      <c r="S517" s="10">
        <v>4695908.95</v>
      </c>
      <c r="T517" s="10">
        <v>110861.77</v>
      </c>
      <c r="U517" s="10">
        <v>5651.16</v>
      </c>
      <c r="V517" s="10">
        <v>1648.6</v>
      </c>
      <c r="W517" s="10">
        <v>3868.97</v>
      </c>
      <c r="X517" s="10">
        <v>4186.1099999999997</v>
      </c>
      <c r="Y517" s="9">
        <v>1907816</v>
      </c>
    </row>
    <row r="518" spans="1:25" ht="16.05" customHeight="1" x14ac:dyDescent="0.3">
      <c r="A518" s="2">
        <v>1129</v>
      </c>
      <c r="B518" s="2">
        <v>17</v>
      </c>
      <c r="C518" s="2">
        <v>2023</v>
      </c>
      <c r="D518" s="3" t="s">
        <v>28</v>
      </c>
      <c r="E518" s="4">
        <v>4466</v>
      </c>
      <c r="F518" s="5">
        <v>72198768.359999999</v>
      </c>
      <c r="G518" s="5">
        <v>4050350.9</v>
      </c>
      <c r="H518" s="6">
        <v>5.61</v>
      </c>
      <c r="I518" s="6">
        <v>9.32</v>
      </c>
      <c r="J518" s="5">
        <v>10415.94</v>
      </c>
      <c r="K518" s="5">
        <v>4339.99</v>
      </c>
      <c r="L518" s="5">
        <v>72139381.170000002</v>
      </c>
      <c r="M518" s="5">
        <v>72190201.510000005</v>
      </c>
      <c r="N518" s="5">
        <v>59387.19</v>
      </c>
      <c r="O518" s="5">
        <v>72153265.480000004</v>
      </c>
      <c r="P518" s="5">
        <v>72140126.870000005</v>
      </c>
      <c r="Q518" s="5">
        <v>13138.61</v>
      </c>
      <c r="R518" s="5">
        <v>6728925.21</v>
      </c>
      <c r="S518" s="5">
        <v>-2678574.31</v>
      </c>
      <c r="T518" s="5">
        <v>105611.05</v>
      </c>
      <c r="U518" s="5">
        <v>19349.7</v>
      </c>
      <c r="V518" s="5">
        <v>10058.57</v>
      </c>
      <c r="W518" s="5">
        <v>3825.74</v>
      </c>
      <c r="X518" s="5">
        <v>3651.62</v>
      </c>
      <c r="Y518" s="4">
        <v>2406777</v>
      </c>
    </row>
    <row r="519" spans="1:25" ht="16.05" customHeight="1" x14ac:dyDescent="0.3">
      <c r="A519" s="7">
        <v>1199</v>
      </c>
      <c r="B519" s="7">
        <v>18</v>
      </c>
      <c r="C519" s="7">
        <v>2023</v>
      </c>
      <c r="D519" s="8" t="s">
        <v>28</v>
      </c>
      <c r="E519" s="9">
        <v>6177</v>
      </c>
      <c r="F519" s="10">
        <v>73892042.090000004</v>
      </c>
      <c r="G519" s="10">
        <v>18251334.399999999</v>
      </c>
      <c r="H519" s="11">
        <v>24.7</v>
      </c>
      <c r="I519" s="11">
        <v>19.100000000000001</v>
      </c>
      <c r="J519" s="10">
        <v>3056.88</v>
      </c>
      <c r="K519" s="10">
        <v>18459.71</v>
      </c>
      <c r="L519" s="10">
        <v>73796814.730000004</v>
      </c>
      <c r="M519" s="10">
        <v>73879022.239999995</v>
      </c>
      <c r="N519" s="10">
        <v>95227.36</v>
      </c>
      <c r="O519" s="10">
        <v>73807727.299999997</v>
      </c>
      <c r="P519" s="10">
        <v>73799621.849999994</v>
      </c>
      <c r="Q519" s="10">
        <v>8105.45</v>
      </c>
      <c r="R519" s="10">
        <v>14113380.039999999</v>
      </c>
      <c r="S519" s="10">
        <v>4137954.36</v>
      </c>
      <c r="T519" s="10">
        <v>27277.040000000001</v>
      </c>
      <c r="U519" s="10">
        <v>43756.49</v>
      </c>
      <c r="V519" s="10">
        <v>5617.37</v>
      </c>
      <c r="W519" s="10">
        <v>5295.2</v>
      </c>
      <c r="X519" s="10">
        <v>1460.29</v>
      </c>
      <c r="Y519" s="9">
        <v>1076299</v>
      </c>
    </row>
    <row r="520" spans="1:25" ht="16.05" customHeight="1" x14ac:dyDescent="0.3">
      <c r="A520" s="2">
        <v>1269</v>
      </c>
      <c r="B520" s="2">
        <v>19</v>
      </c>
      <c r="C520" s="2">
        <v>2023</v>
      </c>
      <c r="D520" s="3" t="s">
        <v>28</v>
      </c>
      <c r="E520" s="4">
        <v>4788</v>
      </c>
      <c r="F520" s="5">
        <v>267688930.59999999</v>
      </c>
      <c r="G520" s="5">
        <v>61996756.32</v>
      </c>
      <c r="H520" s="6">
        <v>23.16</v>
      </c>
      <c r="I520" s="6">
        <v>13.76</v>
      </c>
      <c r="J520" s="5">
        <v>6314.08</v>
      </c>
      <c r="K520" s="5">
        <v>10344.5</v>
      </c>
      <c r="L520" s="5">
        <v>267655765.40000001</v>
      </c>
      <c r="M520" s="5">
        <v>267668130.30000001</v>
      </c>
      <c r="N520" s="5">
        <v>33165.18</v>
      </c>
      <c r="O520" s="5">
        <v>267661342.19999999</v>
      </c>
      <c r="P520" s="5">
        <v>267646553.30000001</v>
      </c>
      <c r="Q520" s="5">
        <v>14788.88</v>
      </c>
      <c r="R520" s="5">
        <v>36833996.850000001</v>
      </c>
      <c r="S520" s="5">
        <v>25162759.48</v>
      </c>
      <c r="T520" s="5">
        <v>35670.61</v>
      </c>
      <c r="U520" s="5">
        <v>21069.3</v>
      </c>
      <c r="V520" s="5">
        <v>3281.17</v>
      </c>
      <c r="W520" s="5">
        <v>2295.6</v>
      </c>
      <c r="X520" s="5">
        <v>1507.05</v>
      </c>
      <c r="Y520" s="4">
        <v>3969223</v>
      </c>
    </row>
    <row r="521" spans="1:25" ht="16.05" customHeight="1" x14ac:dyDescent="0.3">
      <c r="A521" s="7">
        <v>1339</v>
      </c>
      <c r="B521" s="7">
        <v>20</v>
      </c>
      <c r="C521" s="7">
        <v>2023</v>
      </c>
      <c r="D521" s="8" t="s">
        <v>28</v>
      </c>
      <c r="E521" s="9">
        <v>2811</v>
      </c>
      <c r="F521" s="10">
        <v>67869573.939999998</v>
      </c>
      <c r="G521" s="10">
        <v>4839100.62</v>
      </c>
      <c r="H521" s="11">
        <v>7.13</v>
      </c>
      <c r="I521" s="11">
        <v>13.82</v>
      </c>
      <c r="J521" s="10">
        <v>6366.3</v>
      </c>
      <c r="K521" s="10">
        <v>16413.63</v>
      </c>
      <c r="L521" s="10">
        <v>67853935.25</v>
      </c>
      <c r="M521" s="10">
        <v>67864938.859999999</v>
      </c>
      <c r="N521" s="10">
        <v>15638.69</v>
      </c>
      <c r="O521" s="10">
        <v>67869870.709999993</v>
      </c>
      <c r="P521" s="10">
        <v>67858115.469999999</v>
      </c>
      <c r="Q521" s="10">
        <v>11755.24</v>
      </c>
      <c r="R521" s="10">
        <v>9379575.1199999992</v>
      </c>
      <c r="S521" s="10">
        <v>-4540474.5</v>
      </c>
      <c r="T521" s="10">
        <v>80804.13</v>
      </c>
      <c r="U521" s="10">
        <v>14953.05</v>
      </c>
      <c r="V521" s="10">
        <v>10905.7</v>
      </c>
      <c r="W521" s="10">
        <v>5029.76</v>
      </c>
      <c r="X521" s="10">
        <v>1573.13</v>
      </c>
      <c r="Y521" s="9">
        <v>3222010</v>
      </c>
    </row>
    <row r="522" spans="1:25" ht="16.05" customHeight="1" x14ac:dyDescent="0.3">
      <c r="A522" s="2">
        <v>1409</v>
      </c>
      <c r="B522" s="2">
        <v>21</v>
      </c>
      <c r="C522" s="2">
        <v>2023</v>
      </c>
      <c r="D522" s="3" t="s">
        <v>28</v>
      </c>
      <c r="E522" s="4">
        <v>1967</v>
      </c>
      <c r="F522" s="5">
        <v>116654196.7</v>
      </c>
      <c r="G522" s="5">
        <v>10358892.67</v>
      </c>
      <c r="H522" s="6">
        <v>8.8800000000000008</v>
      </c>
      <c r="I522" s="6">
        <v>7.93</v>
      </c>
      <c r="J522" s="5">
        <v>8532.08</v>
      </c>
      <c r="K522" s="5">
        <v>8944.25</v>
      </c>
      <c r="L522" s="5">
        <v>116605144.59999999</v>
      </c>
      <c r="M522" s="5">
        <v>116630289.40000001</v>
      </c>
      <c r="N522" s="5">
        <v>49052.08</v>
      </c>
      <c r="O522" s="5">
        <v>116613916</v>
      </c>
      <c r="P522" s="5">
        <v>116602427.09999999</v>
      </c>
      <c r="Q522" s="5">
        <v>11488.93</v>
      </c>
      <c r="R522" s="5">
        <v>9250677.8000000007</v>
      </c>
      <c r="S522" s="5">
        <v>1108214.8700000001</v>
      </c>
      <c r="T522" s="5">
        <v>58714.080000000002</v>
      </c>
      <c r="U522" s="5">
        <v>31555.040000000001</v>
      </c>
      <c r="V522" s="5">
        <v>1956.15</v>
      </c>
      <c r="W522" s="5">
        <v>6815.24</v>
      </c>
      <c r="X522" s="5">
        <v>3630.23</v>
      </c>
      <c r="Y522" s="4">
        <v>3072898</v>
      </c>
    </row>
    <row r="523" spans="1:25" ht="16.05" customHeight="1" x14ac:dyDescent="0.3">
      <c r="A523" s="7">
        <v>1479</v>
      </c>
      <c r="B523" s="7">
        <v>22</v>
      </c>
      <c r="C523" s="7">
        <v>2023</v>
      </c>
      <c r="D523" s="8" t="s">
        <v>28</v>
      </c>
      <c r="E523" s="9">
        <v>2588</v>
      </c>
      <c r="F523" s="10">
        <v>38307551.619999997</v>
      </c>
      <c r="G523" s="10">
        <v>6339899.79</v>
      </c>
      <c r="H523" s="11">
        <v>16.55</v>
      </c>
      <c r="I523" s="11">
        <v>10.19</v>
      </c>
      <c r="J523" s="10">
        <v>11488.78</v>
      </c>
      <c r="K523" s="10">
        <v>10930.09</v>
      </c>
      <c r="L523" s="10">
        <v>38226240.039999999</v>
      </c>
      <c r="M523" s="10">
        <v>38288201.170000002</v>
      </c>
      <c r="N523" s="10">
        <v>81311.58</v>
      </c>
      <c r="O523" s="10">
        <v>38241860.740000002</v>
      </c>
      <c r="P523" s="10">
        <v>38239566.07</v>
      </c>
      <c r="Q523" s="10">
        <v>2294.67</v>
      </c>
      <c r="R523" s="10">
        <v>3903539.51</v>
      </c>
      <c r="S523" s="10">
        <v>2436360.2799999998</v>
      </c>
      <c r="T523" s="10">
        <v>71023.839999999997</v>
      </c>
      <c r="U523" s="10">
        <v>18307.95</v>
      </c>
      <c r="V523" s="10">
        <v>8219.0300000000007</v>
      </c>
      <c r="W523" s="10">
        <v>7401.67</v>
      </c>
      <c r="X523" s="10">
        <v>2033.06</v>
      </c>
      <c r="Y523" s="9">
        <v>2784455</v>
      </c>
    </row>
    <row r="524" spans="1:25" ht="16.05" customHeight="1" x14ac:dyDescent="0.3">
      <c r="A524" s="2">
        <v>1549</v>
      </c>
      <c r="B524" s="2">
        <v>23</v>
      </c>
      <c r="C524" s="2">
        <v>2023</v>
      </c>
      <c r="D524" s="3" t="s">
        <v>28</v>
      </c>
      <c r="E524" s="4">
        <v>5285</v>
      </c>
      <c r="F524" s="5">
        <v>54636100.939999998</v>
      </c>
      <c r="G524" s="5">
        <v>14642475.050000001</v>
      </c>
      <c r="H524" s="6">
        <v>26.8</v>
      </c>
      <c r="I524" s="6">
        <v>17.940000000000001</v>
      </c>
      <c r="J524" s="5">
        <v>6926.49</v>
      </c>
      <c r="K524" s="5">
        <v>7952.35</v>
      </c>
      <c r="L524" s="5">
        <v>54615176.960000001</v>
      </c>
      <c r="M524" s="5">
        <v>54627668.670000002</v>
      </c>
      <c r="N524" s="5">
        <v>20923.98</v>
      </c>
      <c r="O524" s="5">
        <v>54624582.990000002</v>
      </c>
      <c r="P524" s="5">
        <v>54614747.560000002</v>
      </c>
      <c r="Q524" s="5">
        <v>9835.43</v>
      </c>
      <c r="R524" s="5">
        <v>9801716.5099999998</v>
      </c>
      <c r="S524" s="5">
        <v>4840758.54</v>
      </c>
      <c r="T524" s="5">
        <v>82907.929999999993</v>
      </c>
      <c r="U524" s="5">
        <v>22410.99</v>
      </c>
      <c r="V524" s="5">
        <v>4484.68</v>
      </c>
      <c r="W524" s="5">
        <v>4921.3500000000004</v>
      </c>
      <c r="X524" s="5">
        <v>1872.7</v>
      </c>
      <c r="Y524" s="4">
        <v>1721891</v>
      </c>
    </row>
    <row r="525" spans="1:25" ht="16.05" customHeight="1" x14ac:dyDescent="0.3">
      <c r="A525" s="7">
        <v>1619</v>
      </c>
      <c r="B525" s="7">
        <v>24</v>
      </c>
      <c r="C525" s="7">
        <v>2023</v>
      </c>
      <c r="D525" s="8" t="s">
        <v>28</v>
      </c>
      <c r="E525" s="9">
        <v>5321</v>
      </c>
      <c r="F525" s="10">
        <v>285957186.39999998</v>
      </c>
      <c r="G525" s="10">
        <v>42607620.780000001</v>
      </c>
      <c r="H525" s="11">
        <v>14.9</v>
      </c>
      <c r="I525" s="11">
        <v>16.47</v>
      </c>
      <c r="J525" s="10">
        <v>10950.1</v>
      </c>
      <c r="K525" s="10">
        <v>18888.57</v>
      </c>
      <c r="L525" s="10">
        <v>285936610.39999998</v>
      </c>
      <c r="M525" s="10">
        <v>285942882</v>
      </c>
      <c r="N525" s="10">
        <v>20576.060000000001</v>
      </c>
      <c r="O525" s="10">
        <v>285950776.69999999</v>
      </c>
      <c r="P525" s="10">
        <v>285946818</v>
      </c>
      <c r="Q525" s="10">
        <v>3958.67</v>
      </c>
      <c r="R525" s="10">
        <v>47097148.609999999</v>
      </c>
      <c r="S525" s="10">
        <v>-4489527.83</v>
      </c>
      <c r="T525" s="10">
        <v>14676.65</v>
      </c>
      <c r="U525" s="10">
        <v>10448.27</v>
      </c>
      <c r="V525" s="10">
        <v>11046.95</v>
      </c>
      <c r="W525" s="10">
        <v>3119.38</v>
      </c>
      <c r="X525" s="10">
        <v>3414.3</v>
      </c>
      <c r="Y525" s="9">
        <v>3292357</v>
      </c>
    </row>
    <row r="526" spans="1:25" ht="16.05" customHeight="1" x14ac:dyDescent="0.3">
      <c r="A526" s="2">
        <v>1689</v>
      </c>
      <c r="B526" s="2">
        <v>25</v>
      </c>
      <c r="C526" s="2">
        <v>2023</v>
      </c>
      <c r="D526" s="3" t="s">
        <v>28</v>
      </c>
      <c r="E526" s="4">
        <v>851</v>
      </c>
      <c r="F526" s="5">
        <v>28021561.329999998</v>
      </c>
      <c r="G526" s="5">
        <v>7400494.3499999996</v>
      </c>
      <c r="H526" s="6">
        <v>26.41</v>
      </c>
      <c r="I526" s="6">
        <v>8.2899999999999991</v>
      </c>
      <c r="J526" s="5">
        <v>12051.79</v>
      </c>
      <c r="K526" s="5">
        <v>14957.24</v>
      </c>
      <c r="L526" s="5">
        <v>28009506.059999999</v>
      </c>
      <c r="M526" s="5">
        <v>28014775.460000001</v>
      </c>
      <c r="N526" s="5">
        <v>12055.27</v>
      </c>
      <c r="O526" s="5">
        <v>28027479.120000001</v>
      </c>
      <c r="P526" s="5">
        <v>28013795.829999998</v>
      </c>
      <c r="Q526" s="5">
        <v>13683.29</v>
      </c>
      <c r="R526" s="5">
        <v>2322987.4300000002</v>
      </c>
      <c r="S526" s="5">
        <v>5077506.91</v>
      </c>
      <c r="T526" s="5">
        <v>94466.19</v>
      </c>
      <c r="U526" s="5">
        <v>52676.61</v>
      </c>
      <c r="V526" s="5">
        <v>10682.23</v>
      </c>
      <c r="W526" s="5">
        <v>7290.83</v>
      </c>
      <c r="X526" s="5">
        <v>3147.1</v>
      </c>
      <c r="Y526" s="4">
        <v>2273531</v>
      </c>
    </row>
    <row r="527" spans="1:25" ht="16.05" customHeight="1" x14ac:dyDescent="0.3">
      <c r="A527" s="7">
        <v>1759</v>
      </c>
      <c r="B527" s="7">
        <v>26</v>
      </c>
      <c r="C527" s="7">
        <v>2023</v>
      </c>
      <c r="D527" s="8" t="s">
        <v>28</v>
      </c>
      <c r="E527" s="9">
        <v>6464</v>
      </c>
      <c r="F527" s="10">
        <v>155989354.30000001</v>
      </c>
      <c r="G527" s="10">
        <v>11808394.119999999</v>
      </c>
      <c r="H527" s="11">
        <v>7.57</v>
      </c>
      <c r="I527" s="11">
        <v>19.72</v>
      </c>
      <c r="J527" s="10">
        <v>3202.61</v>
      </c>
      <c r="K527" s="10">
        <v>4913.28</v>
      </c>
      <c r="L527" s="10">
        <v>155966635.19999999</v>
      </c>
      <c r="M527" s="10">
        <v>155985430.30000001</v>
      </c>
      <c r="N527" s="10">
        <v>22719.09</v>
      </c>
      <c r="O527" s="10">
        <v>155971554.80000001</v>
      </c>
      <c r="P527" s="10">
        <v>155959818.19999999</v>
      </c>
      <c r="Q527" s="10">
        <v>11736.64</v>
      </c>
      <c r="R527" s="10">
        <v>30761100.66</v>
      </c>
      <c r="S527" s="10">
        <v>-18952706.539999999</v>
      </c>
      <c r="T527" s="10">
        <v>113188.16</v>
      </c>
      <c r="U527" s="10">
        <v>34847.599999999999</v>
      </c>
      <c r="V527" s="10">
        <v>3222.29</v>
      </c>
      <c r="W527" s="10">
        <v>1697.35</v>
      </c>
      <c r="X527" s="10">
        <v>2376.75</v>
      </c>
      <c r="Y527" s="9">
        <v>4737091</v>
      </c>
    </row>
    <row r="528" spans="1:25" ht="16.05" customHeight="1" x14ac:dyDescent="0.3">
      <c r="A528" s="2">
        <v>1829</v>
      </c>
      <c r="B528" s="2">
        <v>27</v>
      </c>
      <c r="C528" s="2">
        <v>2023</v>
      </c>
      <c r="D528" s="3" t="s">
        <v>28</v>
      </c>
      <c r="E528" s="4">
        <v>5832</v>
      </c>
      <c r="F528" s="5">
        <v>163416538.19999999</v>
      </c>
      <c r="G528" s="5">
        <v>48534711.840000004</v>
      </c>
      <c r="H528" s="6">
        <v>29.7</v>
      </c>
      <c r="I528" s="6">
        <v>12.34</v>
      </c>
      <c r="J528" s="5">
        <v>5412.32</v>
      </c>
      <c r="K528" s="5">
        <v>19893.27</v>
      </c>
      <c r="L528" s="5">
        <v>163379335.69999999</v>
      </c>
      <c r="M528" s="5">
        <v>163410128.59999999</v>
      </c>
      <c r="N528" s="5">
        <v>37202.51</v>
      </c>
      <c r="O528" s="5">
        <v>163381764.5</v>
      </c>
      <c r="P528" s="5">
        <v>163372379.09999999</v>
      </c>
      <c r="Q528" s="5">
        <v>9385.48</v>
      </c>
      <c r="R528" s="5">
        <v>20165600.809999999</v>
      </c>
      <c r="S528" s="5">
        <v>28369111.030000001</v>
      </c>
      <c r="T528" s="5">
        <v>46457.05</v>
      </c>
      <c r="U528" s="5">
        <v>26625.8</v>
      </c>
      <c r="V528" s="5">
        <v>1474.49</v>
      </c>
      <c r="W528" s="5">
        <v>954.36</v>
      </c>
      <c r="X528" s="5">
        <v>2542.21</v>
      </c>
      <c r="Y528" s="4">
        <v>4122749</v>
      </c>
    </row>
    <row r="529" spans="1:25" ht="16.05" customHeight="1" x14ac:dyDescent="0.3">
      <c r="A529" s="7">
        <v>1899</v>
      </c>
      <c r="B529" s="7">
        <v>28</v>
      </c>
      <c r="C529" s="7">
        <v>2023</v>
      </c>
      <c r="D529" s="8" t="s">
        <v>28</v>
      </c>
      <c r="E529" s="9">
        <v>5035</v>
      </c>
      <c r="F529" s="10">
        <v>233221578.09999999</v>
      </c>
      <c r="G529" s="10">
        <v>37735251.329999998</v>
      </c>
      <c r="H529" s="11">
        <v>16.18</v>
      </c>
      <c r="I529" s="11">
        <v>12.19</v>
      </c>
      <c r="J529" s="10">
        <v>13753.97</v>
      </c>
      <c r="K529" s="10">
        <v>4259.16</v>
      </c>
      <c r="L529" s="10">
        <v>233140202.59999999</v>
      </c>
      <c r="M529" s="10">
        <v>233208988.69999999</v>
      </c>
      <c r="N529" s="10">
        <v>81375.44</v>
      </c>
      <c r="O529" s="10">
        <v>233147517.19999999</v>
      </c>
      <c r="P529" s="10">
        <v>233141378.59999999</v>
      </c>
      <c r="Q529" s="10">
        <v>6138.6</v>
      </c>
      <c r="R529" s="10">
        <v>28429710.370000001</v>
      </c>
      <c r="S529" s="10">
        <v>9305540.9600000009</v>
      </c>
      <c r="T529" s="10">
        <v>38011.589999999997</v>
      </c>
      <c r="U529" s="10">
        <v>58818.67</v>
      </c>
      <c r="V529" s="10">
        <v>4442.91</v>
      </c>
      <c r="W529" s="10">
        <v>2871.67</v>
      </c>
      <c r="X529" s="10">
        <v>1909.66</v>
      </c>
      <c r="Y529" s="9">
        <v>2592542</v>
      </c>
    </row>
    <row r="530" spans="1:25" ht="16.05" customHeight="1" x14ac:dyDescent="0.3">
      <c r="A530" s="2">
        <v>1969</v>
      </c>
      <c r="B530" s="2">
        <v>29</v>
      </c>
      <c r="C530" s="2">
        <v>2023</v>
      </c>
      <c r="D530" s="3" t="s">
        <v>28</v>
      </c>
      <c r="E530" s="4">
        <v>3688</v>
      </c>
      <c r="F530" s="5">
        <v>22435102.469999999</v>
      </c>
      <c r="G530" s="5">
        <v>6517397.2699999996</v>
      </c>
      <c r="H530" s="6">
        <v>29.05</v>
      </c>
      <c r="I530" s="6">
        <v>10.9</v>
      </c>
      <c r="J530" s="5">
        <v>1386.66</v>
      </c>
      <c r="K530" s="5">
        <v>15170.38</v>
      </c>
      <c r="L530" s="5">
        <v>22393456.989999998</v>
      </c>
      <c r="M530" s="5">
        <v>22421952.190000001</v>
      </c>
      <c r="N530" s="5">
        <v>41645.480000000003</v>
      </c>
      <c r="O530" s="5">
        <v>22402520.219999999</v>
      </c>
      <c r="P530" s="5">
        <v>22397263.510000002</v>
      </c>
      <c r="Q530" s="5">
        <v>5256.71</v>
      </c>
      <c r="R530" s="5">
        <v>2445426.17</v>
      </c>
      <c r="S530" s="5">
        <v>4071971.1</v>
      </c>
      <c r="T530" s="5">
        <v>54430.04</v>
      </c>
      <c r="U530" s="5">
        <v>15070.76</v>
      </c>
      <c r="V530" s="5">
        <v>5361.57</v>
      </c>
      <c r="W530" s="5">
        <v>3701.66</v>
      </c>
      <c r="X530" s="5">
        <v>1171.83</v>
      </c>
      <c r="Y530" s="4">
        <v>3955201</v>
      </c>
    </row>
    <row r="531" spans="1:25" ht="16.05" customHeight="1" x14ac:dyDescent="0.3">
      <c r="A531" s="7">
        <v>2039</v>
      </c>
      <c r="B531" s="7">
        <v>30</v>
      </c>
      <c r="C531" s="7">
        <v>2023</v>
      </c>
      <c r="D531" s="8" t="s">
        <v>28</v>
      </c>
      <c r="E531" s="9">
        <v>2514</v>
      </c>
      <c r="F531" s="10">
        <v>135624524.19999999</v>
      </c>
      <c r="G531" s="10">
        <v>22527233.469999999</v>
      </c>
      <c r="H531" s="11">
        <v>16.61</v>
      </c>
      <c r="I531" s="11">
        <v>7.09</v>
      </c>
      <c r="J531" s="10">
        <v>6657.9</v>
      </c>
      <c r="K531" s="10">
        <v>6845.68</v>
      </c>
      <c r="L531" s="10">
        <v>135556790.69999999</v>
      </c>
      <c r="M531" s="10">
        <v>135619424.90000001</v>
      </c>
      <c r="N531" s="10">
        <v>67733.45</v>
      </c>
      <c r="O531" s="10">
        <v>135563681.09999999</v>
      </c>
      <c r="P531" s="10">
        <v>135552707.69999999</v>
      </c>
      <c r="Q531" s="10">
        <v>10973.4</v>
      </c>
      <c r="R531" s="10">
        <v>9615778.7699999996</v>
      </c>
      <c r="S531" s="10">
        <v>12911454.699999999</v>
      </c>
      <c r="T531" s="10">
        <v>110597.99</v>
      </c>
      <c r="U531" s="10">
        <v>36943.47</v>
      </c>
      <c r="V531" s="10">
        <v>1855.4</v>
      </c>
      <c r="W531" s="10">
        <v>5034.95</v>
      </c>
      <c r="X531" s="10">
        <v>1587.81</v>
      </c>
      <c r="Y531" s="9">
        <v>4762128</v>
      </c>
    </row>
    <row r="532" spans="1:25" ht="16.05" customHeight="1" x14ac:dyDescent="0.3">
      <c r="A532" s="2">
        <v>2109</v>
      </c>
      <c r="B532" s="2">
        <v>31</v>
      </c>
      <c r="C532" s="2">
        <v>2023</v>
      </c>
      <c r="D532" s="3" t="s">
        <v>28</v>
      </c>
      <c r="E532" s="4">
        <v>1128</v>
      </c>
      <c r="F532" s="5">
        <v>46615440.469999999</v>
      </c>
      <c r="G532" s="5">
        <v>12707369.07</v>
      </c>
      <c r="H532" s="6">
        <v>27.26</v>
      </c>
      <c r="I532" s="6">
        <v>10.87</v>
      </c>
      <c r="J532" s="5">
        <v>8919.4599999999991</v>
      </c>
      <c r="K532" s="5">
        <v>10429</v>
      </c>
      <c r="L532" s="5">
        <v>46551285.119999997</v>
      </c>
      <c r="M532" s="5">
        <v>46590977.619999997</v>
      </c>
      <c r="N532" s="5">
        <v>64155.35</v>
      </c>
      <c r="O532" s="5">
        <v>46562967.439999998</v>
      </c>
      <c r="P532" s="5">
        <v>46552135.700000003</v>
      </c>
      <c r="Q532" s="5">
        <v>10831.74</v>
      </c>
      <c r="R532" s="5">
        <v>5067098.38</v>
      </c>
      <c r="S532" s="5">
        <v>7640270.6900000004</v>
      </c>
      <c r="T532" s="5">
        <v>46703.37</v>
      </c>
      <c r="U532" s="5">
        <v>32621.75</v>
      </c>
      <c r="V532" s="5">
        <v>4070.8</v>
      </c>
      <c r="W532" s="5">
        <v>7611.52</v>
      </c>
      <c r="X532" s="5">
        <v>2656.19</v>
      </c>
      <c r="Y532" s="4">
        <v>3541230</v>
      </c>
    </row>
    <row r="533" spans="1:25" ht="16.05" customHeight="1" x14ac:dyDescent="0.3">
      <c r="A533" s="7">
        <v>2179</v>
      </c>
      <c r="B533" s="7">
        <v>32</v>
      </c>
      <c r="C533" s="7">
        <v>2023</v>
      </c>
      <c r="D533" s="8" t="s">
        <v>28</v>
      </c>
      <c r="E533" s="9">
        <v>1185</v>
      </c>
      <c r="F533" s="10">
        <v>42646224</v>
      </c>
      <c r="G533" s="10">
        <v>11203163.039999999</v>
      </c>
      <c r="H533" s="11">
        <v>26.27</v>
      </c>
      <c r="I533" s="11">
        <v>14.53</v>
      </c>
      <c r="J533" s="10">
        <v>14190.78</v>
      </c>
      <c r="K533" s="10">
        <v>19619.29</v>
      </c>
      <c r="L533" s="10">
        <v>42553914.670000002</v>
      </c>
      <c r="M533" s="10">
        <v>42635037.359999999</v>
      </c>
      <c r="N533" s="10">
        <v>92309.33</v>
      </c>
      <c r="O533" s="10">
        <v>42562197.189999998</v>
      </c>
      <c r="P533" s="10">
        <v>42555633.979999997</v>
      </c>
      <c r="Q533" s="10">
        <v>6563.21</v>
      </c>
      <c r="R533" s="10">
        <v>6196496.3499999996</v>
      </c>
      <c r="S533" s="10">
        <v>5006666.7</v>
      </c>
      <c r="T533" s="10">
        <v>103424.93</v>
      </c>
      <c r="U533" s="10">
        <v>8366.9</v>
      </c>
      <c r="V533" s="10">
        <v>5701.93</v>
      </c>
      <c r="W533" s="10">
        <v>2580.59</v>
      </c>
      <c r="X533" s="10">
        <v>4759.0600000000004</v>
      </c>
      <c r="Y533" s="9">
        <v>4968864</v>
      </c>
    </row>
    <row r="534" spans="1:25" ht="16.05" customHeight="1" x14ac:dyDescent="0.3">
      <c r="A534" s="2">
        <v>2249</v>
      </c>
      <c r="B534" s="2">
        <v>33</v>
      </c>
      <c r="C534" s="2">
        <v>2023</v>
      </c>
      <c r="D534" s="3" t="s">
        <v>28</v>
      </c>
      <c r="E534" s="4">
        <v>1038</v>
      </c>
      <c r="F534" s="5">
        <v>10501643</v>
      </c>
      <c r="G534" s="5">
        <v>1239193.8700000001</v>
      </c>
      <c r="H534" s="6">
        <v>11.8</v>
      </c>
      <c r="I534" s="6">
        <v>15.48</v>
      </c>
      <c r="J534" s="5">
        <v>9224.6</v>
      </c>
      <c r="K534" s="5">
        <v>10213.379999999999</v>
      </c>
      <c r="L534" s="5">
        <v>10490254.76</v>
      </c>
      <c r="M534" s="5">
        <v>10475807.15</v>
      </c>
      <c r="N534" s="5">
        <v>11388.24</v>
      </c>
      <c r="O534" s="5">
        <v>10505704.539999999</v>
      </c>
      <c r="P534" s="5">
        <v>10500640.140000001</v>
      </c>
      <c r="Q534" s="5">
        <v>5064.3999999999996</v>
      </c>
      <c r="R534" s="5">
        <v>1625654.34</v>
      </c>
      <c r="S534" s="5">
        <v>-386460.46</v>
      </c>
      <c r="T534" s="5">
        <v>97017.02</v>
      </c>
      <c r="U534" s="5">
        <v>25503.439999999999</v>
      </c>
      <c r="V534" s="5">
        <v>9283.34</v>
      </c>
      <c r="W534" s="5">
        <v>6166.44</v>
      </c>
      <c r="X534" s="5">
        <v>4337.12</v>
      </c>
      <c r="Y534" s="4">
        <v>2650591</v>
      </c>
    </row>
    <row r="535" spans="1:25" ht="16.05" customHeight="1" x14ac:dyDescent="0.3">
      <c r="A535" s="7">
        <v>2319</v>
      </c>
      <c r="B535" s="7">
        <v>34</v>
      </c>
      <c r="C535" s="7">
        <v>2023</v>
      </c>
      <c r="D535" s="8" t="s">
        <v>28</v>
      </c>
      <c r="E535" s="9">
        <v>5956</v>
      </c>
      <c r="F535" s="10">
        <v>104048242.2</v>
      </c>
      <c r="G535" s="10">
        <v>6170060.7599999998</v>
      </c>
      <c r="H535" s="11">
        <v>5.93</v>
      </c>
      <c r="I535" s="11">
        <v>7.58</v>
      </c>
      <c r="J535" s="10">
        <v>7336.48</v>
      </c>
      <c r="K535" s="10">
        <v>2716.24</v>
      </c>
      <c r="L535" s="10">
        <v>103989565</v>
      </c>
      <c r="M535" s="10">
        <v>104043074.2</v>
      </c>
      <c r="N535" s="10">
        <v>58677.16</v>
      </c>
      <c r="O535" s="10">
        <v>103999228.59999999</v>
      </c>
      <c r="P535" s="10">
        <v>103989468.40000001</v>
      </c>
      <c r="Q535" s="10">
        <v>9760.16</v>
      </c>
      <c r="R535" s="10">
        <v>7886856.7599999998</v>
      </c>
      <c r="S535" s="10">
        <v>-1716796</v>
      </c>
      <c r="T535" s="10">
        <v>72250</v>
      </c>
      <c r="U535" s="10">
        <v>43806.76</v>
      </c>
      <c r="V535" s="10">
        <v>4372.4399999999996</v>
      </c>
      <c r="W535" s="10">
        <v>5291.14</v>
      </c>
      <c r="X535" s="10">
        <v>3632.41</v>
      </c>
      <c r="Y535" s="9">
        <v>4938486</v>
      </c>
    </row>
    <row r="536" spans="1:25" ht="16.05" customHeight="1" x14ac:dyDescent="0.3">
      <c r="A536" s="2">
        <v>2389</v>
      </c>
      <c r="B536" s="2">
        <v>35</v>
      </c>
      <c r="C536" s="2">
        <v>2023</v>
      </c>
      <c r="D536" s="3" t="s">
        <v>28</v>
      </c>
      <c r="E536" s="4">
        <v>2620</v>
      </c>
      <c r="F536" s="5">
        <v>18764172.140000001</v>
      </c>
      <c r="G536" s="5">
        <v>3030413.8</v>
      </c>
      <c r="H536" s="6">
        <v>16.149999999999999</v>
      </c>
      <c r="I536" s="6">
        <v>12.81</v>
      </c>
      <c r="J536" s="5">
        <v>5605.37</v>
      </c>
      <c r="K536" s="5">
        <v>15075.19</v>
      </c>
      <c r="L536" s="5">
        <v>18669501.239999998</v>
      </c>
      <c r="M536" s="5">
        <v>18738574.739999998</v>
      </c>
      <c r="N536" s="5">
        <v>94670.9</v>
      </c>
      <c r="O536" s="5">
        <v>18672853.23</v>
      </c>
      <c r="P536" s="5">
        <v>18664157.07</v>
      </c>
      <c r="Q536" s="5">
        <v>8696.16</v>
      </c>
      <c r="R536" s="5">
        <v>2403690.4500000002</v>
      </c>
      <c r="S536" s="5">
        <v>626723.35</v>
      </c>
      <c r="T536" s="5">
        <v>98318.43</v>
      </c>
      <c r="U536" s="5">
        <v>32990.519999999997</v>
      </c>
      <c r="V536" s="5">
        <v>2274.7600000000002</v>
      </c>
      <c r="W536" s="5">
        <v>1077.23</v>
      </c>
      <c r="X536" s="5">
        <v>2242.5</v>
      </c>
      <c r="Y536" s="4">
        <v>1126597</v>
      </c>
    </row>
    <row r="537" spans="1:25" ht="16.05" customHeight="1" x14ac:dyDescent="0.3">
      <c r="A537" s="7">
        <v>2459</v>
      </c>
      <c r="B537" s="7">
        <v>36</v>
      </c>
      <c r="C537" s="7">
        <v>2023</v>
      </c>
      <c r="D537" s="8" t="s">
        <v>28</v>
      </c>
      <c r="E537" s="9">
        <v>4131</v>
      </c>
      <c r="F537" s="10">
        <v>277686240.19999999</v>
      </c>
      <c r="G537" s="10">
        <v>36099211.229999997</v>
      </c>
      <c r="H537" s="11">
        <v>13</v>
      </c>
      <c r="I537" s="11">
        <v>9.1</v>
      </c>
      <c r="J537" s="10">
        <v>10351.99</v>
      </c>
      <c r="K537" s="10">
        <v>18142.66</v>
      </c>
      <c r="L537" s="10">
        <v>277632848.5</v>
      </c>
      <c r="M537" s="10">
        <v>277663775.89999998</v>
      </c>
      <c r="N537" s="10">
        <v>53391.7</v>
      </c>
      <c r="O537" s="10">
        <v>277651671.69999999</v>
      </c>
      <c r="P537" s="10">
        <v>277641338.39999998</v>
      </c>
      <c r="Q537" s="10">
        <v>10333.290000000001</v>
      </c>
      <c r="R537" s="10">
        <v>25269447.859999999</v>
      </c>
      <c r="S537" s="10">
        <v>10829763.369999999</v>
      </c>
      <c r="T537" s="10">
        <v>107914.45</v>
      </c>
      <c r="U537" s="10">
        <v>35526.07</v>
      </c>
      <c r="V537" s="10">
        <v>11450.46</v>
      </c>
      <c r="W537" s="10">
        <v>7372.69</v>
      </c>
      <c r="X537" s="10">
        <v>1591.59</v>
      </c>
      <c r="Y537" s="9">
        <v>3933425</v>
      </c>
    </row>
    <row r="538" spans="1:25" ht="16.05" customHeight="1" x14ac:dyDescent="0.3">
      <c r="A538" s="2">
        <v>2529</v>
      </c>
      <c r="B538" s="2">
        <v>37</v>
      </c>
      <c r="C538" s="2">
        <v>2023</v>
      </c>
      <c r="D538" s="3" t="s">
        <v>28</v>
      </c>
      <c r="E538" s="4">
        <v>6876</v>
      </c>
      <c r="F538" s="5">
        <v>358111962.19999999</v>
      </c>
      <c r="G538" s="5">
        <v>23277277.539999999</v>
      </c>
      <c r="H538" s="6">
        <v>6.5</v>
      </c>
      <c r="I538" s="6">
        <v>17.55</v>
      </c>
      <c r="J538" s="5">
        <v>4068.26</v>
      </c>
      <c r="K538" s="5">
        <v>6281.66</v>
      </c>
      <c r="L538" s="5">
        <v>358021607.5</v>
      </c>
      <c r="M538" s="5">
        <v>358104346.10000002</v>
      </c>
      <c r="N538" s="5">
        <v>90354.67</v>
      </c>
      <c r="O538" s="5">
        <v>358027837</v>
      </c>
      <c r="P538" s="5">
        <v>358022993.5</v>
      </c>
      <c r="Q538" s="5">
        <v>4843.57</v>
      </c>
      <c r="R538" s="5">
        <v>62848649.359999999</v>
      </c>
      <c r="S538" s="5">
        <v>-39571371.82</v>
      </c>
      <c r="T538" s="5">
        <v>23815.200000000001</v>
      </c>
      <c r="U538" s="5">
        <v>12156.52</v>
      </c>
      <c r="V538" s="5">
        <v>5648.14</v>
      </c>
      <c r="W538" s="5">
        <v>581.4</v>
      </c>
      <c r="X538" s="5">
        <v>1677.05</v>
      </c>
      <c r="Y538" s="4">
        <v>2496809</v>
      </c>
    </row>
    <row r="539" spans="1:25" ht="16.05" customHeight="1" x14ac:dyDescent="0.3">
      <c r="A539" s="7">
        <v>2599</v>
      </c>
      <c r="B539" s="7">
        <v>38</v>
      </c>
      <c r="C539" s="7">
        <v>2023</v>
      </c>
      <c r="D539" s="8" t="s">
        <v>28</v>
      </c>
      <c r="E539" s="9">
        <v>5732</v>
      </c>
      <c r="F539" s="10">
        <v>141880600.69999999</v>
      </c>
      <c r="G539" s="10">
        <v>38690839.810000002</v>
      </c>
      <c r="H539" s="11">
        <v>27.27</v>
      </c>
      <c r="I539" s="11">
        <v>8.61</v>
      </c>
      <c r="J539" s="10">
        <v>14541.55</v>
      </c>
      <c r="K539" s="10">
        <v>6392.9</v>
      </c>
      <c r="L539" s="10">
        <v>141859264.09999999</v>
      </c>
      <c r="M539" s="10">
        <v>141868595.90000001</v>
      </c>
      <c r="N539" s="10">
        <v>21336.55</v>
      </c>
      <c r="O539" s="10">
        <v>141873100.80000001</v>
      </c>
      <c r="P539" s="10">
        <v>141868298.19999999</v>
      </c>
      <c r="Q539" s="10">
        <v>4802.5600000000004</v>
      </c>
      <c r="R539" s="10">
        <v>12215919.720000001</v>
      </c>
      <c r="S539" s="10">
        <v>26474920.09</v>
      </c>
      <c r="T539" s="10">
        <v>43990.11</v>
      </c>
      <c r="U539" s="10">
        <v>41827.89</v>
      </c>
      <c r="V539" s="10">
        <v>7588.02</v>
      </c>
      <c r="W539" s="10">
        <v>6248.63</v>
      </c>
      <c r="X539" s="10">
        <v>1280.6199999999999</v>
      </c>
      <c r="Y539" s="9">
        <v>4051853</v>
      </c>
    </row>
    <row r="540" spans="1:25" ht="16.05" customHeight="1" x14ac:dyDescent="0.3">
      <c r="A540" s="2">
        <v>2669</v>
      </c>
      <c r="B540" s="2">
        <v>39</v>
      </c>
      <c r="C540" s="2">
        <v>2023</v>
      </c>
      <c r="D540" s="3" t="s">
        <v>28</v>
      </c>
      <c r="E540" s="4">
        <v>5315</v>
      </c>
      <c r="F540" s="5">
        <v>118078360</v>
      </c>
      <c r="G540" s="5">
        <v>28870159.02</v>
      </c>
      <c r="H540" s="6">
        <v>24.45</v>
      </c>
      <c r="I540" s="6">
        <v>13.52</v>
      </c>
      <c r="J540" s="5">
        <v>7186.06</v>
      </c>
      <c r="K540" s="5">
        <v>17504.86</v>
      </c>
      <c r="L540" s="5">
        <v>118018424.59999999</v>
      </c>
      <c r="M540" s="5">
        <v>118057978.59999999</v>
      </c>
      <c r="N540" s="5">
        <v>59935.43</v>
      </c>
      <c r="O540" s="5">
        <v>118031971</v>
      </c>
      <c r="P540" s="5">
        <v>118026674.40000001</v>
      </c>
      <c r="Q540" s="5">
        <v>5296.53</v>
      </c>
      <c r="R540" s="5">
        <v>15964194.27</v>
      </c>
      <c r="S540" s="5">
        <v>12905964.75</v>
      </c>
      <c r="T540" s="5">
        <v>14638.73</v>
      </c>
      <c r="U540" s="5">
        <v>16269.14</v>
      </c>
      <c r="V540" s="5">
        <v>11539.99</v>
      </c>
      <c r="W540" s="5">
        <v>2006.4</v>
      </c>
      <c r="X540" s="5">
        <v>1824.94</v>
      </c>
      <c r="Y540" s="4">
        <v>3115637</v>
      </c>
    </row>
    <row r="541" spans="1:25" ht="16.05" customHeight="1" x14ac:dyDescent="0.3">
      <c r="A541" s="7">
        <v>2739</v>
      </c>
      <c r="B541" s="7">
        <v>40</v>
      </c>
      <c r="C541" s="7">
        <v>2023</v>
      </c>
      <c r="D541" s="8" t="s">
        <v>28</v>
      </c>
      <c r="E541" s="9">
        <v>6364</v>
      </c>
      <c r="F541" s="10">
        <v>198102930.59999999</v>
      </c>
      <c r="G541" s="10">
        <v>38233865.600000001</v>
      </c>
      <c r="H541" s="11">
        <v>19.3</v>
      </c>
      <c r="I541" s="11">
        <v>12.24</v>
      </c>
      <c r="J541" s="10">
        <v>5389.47</v>
      </c>
      <c r="K541" s="10">
        <v>13465.33</v>
      </c>
      <c r="L541" s="10">
        <v>198046669.69999999</v>
      </c>
      <c r="M541" s="10">
        <v>198087642.5</v>
      </c>
      <c r="N541" s="10">
        <v>56260.85</v>
      </c>
      <c r="O541" s="10">
        <v>198054538.09999999</v>
      </c>
      <c r="P541" s="10">
        <v>198044555</v>
      </c>
      <c r="Q541" s="10">
        <v>9983.1</v>
      </c>
      <c r="R541" s="10">
        <v>24247798.699999999</v>
      </c>
      <c r="S541" s="10">
        <v>13986066.9</v>
      </c>
      <c r="T541" s="10">
        <v>74229.05</v>
      </c>
      <c r="U541" s="10">
        <v>57066.47</v>
      </c>
      <c r="V541" s="10">
        <v>6753.98</v>
      </c>
      <c r="W541" s="10">
        <v>1114.4100000000001</v>
      </c>
      <c r="X541" s="10">
        <v>3144.45</v>
      </c>
      <c r="Y541" s="9">
        <v>2078817</v>
      </c>
    </row>
    <row r="542" spans="1:25" ht="16.05" customHeight="1" x14ac:dyDescent="0.3">
      <c r="A542" s="2">
        <v>2809</v>
      </c>
      <c r="B542" s="2">
        <v>41</v>
      </c>
      <c r="C542" s="2">
        <v>2023</v>
      </c>
      <c r="D542" s="3" t="s">
        <v>28</v>
      </c>
      <c r="E542" s="4">
        <v>854</v>
      </c>
      <c r="F542" s="5">
        <v>45721036.57</v>
      </c>
      <c r="G542" s="5">
        <v>8376093.9000000004</v>
      </c>
      <c r="H542" s="6">
        <v>18.32</v>
      </c>
      <c r="I542" s="6">
        <v>5.33</v>
      </c>
      <c r="J542" s="5">
        <v>3912.76</v>
      </c>
      <c r="K542" s="5">
        <v>7483.04</v>
      </c>
      <c r="L542" s="5">
        <v>45637911.060000002</v>
      </c>
      <c r="M542" s="5">
        <v>45703350.710000001</v>
      </c>
      <c r="N542" s="5">
        <v>83125.509999999995</v>
      </c>
      <c r="O542" s="5">
        <v>45643335.979999997</v>
      </c>
      <c r="P542" s="5">
        <v>45636540.060000002</v>
      </c>
      <c r="Q542" s="5">
        <v>6795.92</v>
      </c>
      <c r="R542" s="5">
        <v>2436931.25</v>
      </c>
      <c r="S542" s="5">
        <v>5939162.6500000004</v>
      </c>
      <c r="T542" s="5">
        <v>53528.57</v>
      </c>
      <c r="U542" s="5">
        <v>48907.76</v>
      </c>
      <c r="V542" s="5">
        <v>4697.59</v>
      </c>
      <c r="W542" s="5">
        <v>727.33</v>
      </c>
      <c r="X542" s="5">
        <v>3251.15</v>
      </c>
      <c r="Y542" s="4">
        <v>4064449</v>
      </c>
    </row>
    <row r="543" spans="1:25" ht="16.05" customHeight="1" x14ac:dyDescent="0.3">
      <c r="A543" s="7">
        <v>2879</v>
      </c>
      <c r="B543" s="7">
        <v>42</v>
      </c>
      <c r="C543" s="7">
        <v>2023</v>
      </c>
      <c r="D543" s="8" t="s">
        <v>28</v>
      </c>
      <c r="E543" s="9">
        <v>1181</v>
      </c>
      <c r="F543" s="10">
        <v>68850632.420000002</v>
      </c>
      <c r="G543" s="10">
        <v>14486173.060000001</v>
      </c>
      <c r="H543" s="11">
        <v>21.04</v>
      </c>
      <c r="I543" s="11">
        <v>10.87</v>
      </c>
      <c r="J543" s="10">
        <v>14218.29</v>
      </c>
      <c r="K543" s="10">
        <v>9722.33</v>
      </c>
      <c r="L543" s="10">
        <v>68766456.920000002</v>
      </c>
      <c r="M543" s="10">
        <v>68845893.939999998</v>
      </c>
      <c r="N543" s="10">
        <v>84175.5</v>
      </c>
      <c r="O543" s="10">
        <v>68772482.680000007</v>
      </c>
      <c r="P543" s="10">
        <v>68765427.230000004</v>
      </c>
      <c r="Q543" s="10">
        <v>7055.45</v>
      </c>
      <c r="R543" s="10">
        <v>7484063.7400000002</v>
      </c>
      <c r="S543" s="10">
        <v>7002109.3200000003</v>
      </c>
      <c r="T543" s="10">
        <v>37532.99</v>
      </c>
      <c r="U543" s="10">
        <v>17645.64</v>
      </c>
      <c r="V543" s="10">
        <v>4893.22</v>
      </c>
      <c r="W543" s="10">
        <v>1132.54</v>
      </c>
      <c r="X543" s="10">
        <v>4956.67</v>
      </c>
      <c r="Y543" s="9">
        <v>2242641</v>
      </c>
    </row>
    <row r="544" spans="1:25" ht="16.05" customHeight="1" x14ac:dyDescent="0.3">
      <c r="A544" s="2">
        <v>2949</v>
      </c>
      <c r="B544" s="2">
        <v>43</v>
      </c>
      <c r="C544" s="2">
        <v>2023</v>
      </c>
      <c r="D544" s="3" t="s">
        <v>28</v>
      </c>
      <c r="E544" s="4">
        <v>2040</v>
      </c>
      <c r="F544" s="5">
        <v>125269928</v>
      </c>
      <c r="G544" s="5">
        <v>6827211.0800000001</v>
      </c>
      <c r="H544" s="6">
        <v>5.45</v>
      </c>
      <c r="I544" s="6">
        <v>11.11</v>
      </c>
      <c r="J544" s="5">
        <v>13330.96</v>
      </c>
      <c r="K544" s="5">
        <v>16887.54</v>
      </c>
      <c r="L544" s="5">
        <v>125256883.5</v>
      </c>
      <c r="M544" s="5">
        <v>125244335.59999999</v>
      </c>
      <c r="N544" s="5">
        <v>13044.47</v>
      </c>
      <c r="O544" s="5">
        <v>125271909.59999999</v>
      </c>
      <c r="P544" s="5">
        <v>125263663.3</v>
      </c>
      <c r="Q544" s="5">
        <v>8246.33</v>
      </c>
      <c r="R544" s="5">
        <v>13917489</v>
      </c>
      <c r="S544" s="5">
        <v>-7090277.9199999999</v>
      </c>
      <c r="T544" s="5">
        <v>39342.81</v>
      </c>
      <c r="U544" s="5">
        <v>46498.37</v>
      </c>
      <c r="V544" s="5">
        <v>9077.2000000000007</v>
      </c>
      <c r="W544" s="5">
        <v>5948.87</v>
      </c>
      <c r="X544" s="5">
        <v>3194.3</v>
      </c>
      <c r="Y544" s="4">
        <v>4078210</v>
      </c>
    </row>
    <row r="545" spans="1:25" ht="16.05" customHeight="1" x14ac:dyDescent="0.3">
      <c r="A545" s="7">
        <v>3019</v>
      </c>
      <c r="B545" s="7">
        <v>44</v>
      </c>
      <c r="C545" s="7">
        <v>2023</v>
      </c>
      <c r="D545" s="8" t="s">
        <v>28</v>
      </c>
      <c r="E545" s="9">
        <v>3179</v>
      </c>
      <c r="F545" s="10">
        <v>127948082.40000001</v>
      </c>
      <c r="G545" s="10">
        <v>23900701.789999999</v>
      </c>
      <c r="H545" s="11">
        <v>18.68</v>
      </c>
      <c r="I545" s="11">
        <v>18.91</v>
      </c>
      <c r="J545" s="10">
        <v>11905.02</v>
      </c>
      <c r="K545" s="10">
        <v>13422.74</v>
      </c>
      <c r="L545" s="10">
        <v>127936597</v>
      </c>
      <c r="M545" s="10">
        <v>127940651.2</v>
      </c>
      <c r="N545" s="10">
        <v>11485.41</v>
      </c>
      <c r="O545" s="10">
        <v>127952108.40000001</v>
      </c>
      <c r="P545" s="10">
        <v>127947079.09999999</v>
      </c>
      <c r="Q545" s="10">
        <v>5029.26</v>
      </c>
      <c r="R545" s="10">
        <v>24194982.379999999</v>
      </c>
      <c r="S545" s="10">
        <v>-294280.59000000003</v>
      </c>
      <c r="T545" s="10">
        <v>20560.02</v>
      </c>
      <c r="U545" s="10">
        <v>22002.58</v>
      </c>
      <c r="V545" s="10">
        <v>8834.73</v>
      </c>
      <c r="W545" s="10">
        <v>6676.7</v>
      </c>
      <c r="X545" s="10">
        <v>3607.53</v>
      </c>
      <c r="Y545" s="9">
        <v>3991224</v>
      </c>
    </row>
    <row r="546" spans="1:25" ht="16.05" customHeight="1" x14ac:dyDescent="0.3">
      <c r="A546" s="2">
        <v>3089</v>
      </c>
      <c r="B546" s="2">
        <v>45</v>
      </c>
      <c r="C546" s="2">
        <v>2023</v>
      </c>
      <c r="D546" s="3" t="s">
        <v>28</v>
      </c>
      <c r="E546" s="4">
        <v>4599</v>
      </c>
      <c r="F546" s="5">
        <v>46735555.880000003</v>
      </c>
      <c r="G546" s="5">
        <v>8463809.1699999999</v>
      </c>
      <c r="H546" s="6">
        <v>18.11</v>
      </c>
      <c r="I546" s="6">
        <v>9.17</v>
      </c>
      <c r="J546" s="5">
        <v>5450.27</v>
      </c>
      <c r="K546" s="5">
        <v>2485.69</v>
      </c>
      <c r="L546" s="5">
        <v>46722028.43</v>
      </c>
      <c r="M546" s="5">
        <v>46730374.439999998</v>
      </c>
      <c r="N546" s="5">
        <v>13527.45</v>
      </c>
      <c r="O546" s="5">
        <v>46735866.380000003</v>
      </c>
      <c r="P546" s="5">
        <v>46729867.939999998</v>
      </c>
      <c r="Q546" s="5">
        <v>5998.44</v>
      </c>
      <c r="R546" s="5">
        <v>4285650.47</v>
      </c>
      <c r="S546" s="5">
        <v>4178158.7</v>
      </c>
      <c r="T546" s="5">
        <v>12477.16</v>
      </c>
      <c r="U546" s="5">
        <v>52417.17</v>
      </c>
      <c r="V546" s="5">
        <v>7276.85</v>
      </c>
      <c r="W546" s="5">
        <v>6561.1</v>
      </c>
      <c r="X546" s="5">
        <v>2776.29</v>
      </c>
      <c r="Y546" s="4">
        <v>4304947</v>
      </c>
    </row>
    <row r="547" spans="1:25" ht="16.05" customHeight="1" x14ac:dyDescent="0.3">
      <c r="A547" s="7">
        <v>3159</v>
      </c>
      <c r="B547" s="7">
        <v>46</v>
      </c>
      <c r="C547" s="7">
        <v>2023</v>
      </c>
      <c r="D547" s="8" t="s">
        <v>28</v>
      </c>
      <c r="E547" s="9">
        <v>4865</v>
      </c>
      <c r="F547" s="10">
        <v>278497153.5</v>
      </c>
      <c r="G547" s="10">
        <v>25983784.420000002</v>
      </c>
      <c r="H547" s="11">
        <v>9.33</v>
      </c>
      <c r="I547" s="11">
        <v>6.49</v>
      </c>
      <c r="J547" s="10">
        <v>8217.6200000000008</v>
      </c>
      <c r="K547" s="10">
        <v>9585.73</v>
      </c>
      <c r="L547" s="10">
        <v>278450606.60000002</v>
      </c>
      <c r="M547" s="10">
        <v>278489210.89999998</v>
      </c>
      <c r="N547" s="10">
        <v>46546.85</v>
      </c>
      <c r="O547" s="10">
        <v>278464194.19999999</v>
      </c>
      <c r="P547" s="10">
        <v>278455167.19999999</v>
      </c>
      <c r="Q547" s="10">
        <v>9027</v>
      </c>
      <c r="R547" s="10">
        <v>18074465.260000002</v>
      </c>
      <c r="S547" s="10">
        <v>7909319.1600000001</v>
      </c>
      <c r="T547" s="10">
        <v>27957.69</v>
      </c>
      <c r="U547" s="10">
        <v>41613.11</v>
      </c>
      <c r="V547" s="10">
        <v>10698.3</v>
      </c>
      <c r="W547" s="10">
        <v>2889.27</v>
      </c>
      <c r="X547" s="10">
        <v>3816.59</v>
      </c>
      <c r="Y547" s="9">
        <v>1118850</v>
      </c>
    </row>
    <row r="548" spans="1:25" ht="16.05" customHeight="1" x14ac:dyDescent="0.3">
      <c r="A548" s="2">
        <v>3229</v>
      </c>
      <c r="B548" s="2">
        <v>47</v>
      </c>
      <c r="C548" s="2">
        <v>2023</v>
      </c>
      <c r="D548" s="3" t="s">
        <v>28</v>
      </c>
      <c r="E548" s="4">
        <v>5270</v>
      </c>
      <c r="F548" s="5">
        <v>286095799</v>
      </c>
      <c r="G548" s="5">
        <v>16564946.76</v>
      </c>
      <c r="H548" s="6">
        <v>5.79</v>
      </c>
      <c r="I548" s="6">
        <v>7.04</v>
      </c>
      <c r="J548" s="5">
        <v>5192.8999999999996</v>
      </c>
      <c r="K548" s="5">
        <v>16559.5</v>
      </c>
      <c r="L548" s="5">
        <v>286025185.19999999</v>
      </c>
      <c r="M548" s="5">
        <v>286083475</v>
      </c>
      <c r="N548" s="5">
        <v>70613.72</v>
      </c>
      <c r="O548" s="5">
        <v>286035888.39999998</v>
      </c>
      <c r="P548" s="5">
        <v>286034861.10000002</v>
      </c>
      <c r="Q548" s="5">
        <v>1027.31</v>
      </c>
      <c r="R548" s="5">
        <v>20141144.25</v>
      </c>
      <c r="S548" s="5">
        <v>-3576197.49</v>
      </c>
      <c r="T548" s="5">
        <v>14718.01</v>
      </c>
      <c r="U548" s="5">
        <v>53296.09</v>
      </c>
      <c r="V548" s="5">
        <v>3710.09</v>
      </c>
      <c r="W548" s="5">
        <v>6993.12</v>
      </c>
      <c r="X548" s="5">
        <v>3348.32</v>
      </c>
      <c r="Y548" s="4">
        <v>1474598</v>
      </c>
    </row>
    <row r="549" spans="1:25" ht="16.05" customHeight="1" x14ac:dyDescent="0.3">
      <c r="A549" s="7">
        <v>3299</v>
      </c>
      <c r="B549" s="7">
        <v>48</v>
      </c>
      <c r="C549" s="7">
        <v>2023</v>
      </c>
      <c r="D549" s="8" t="s">
        <v>28</v>
      </c>
      <c r="E549" s="9">
        <v>1265</v>
      </c>
      <c r="F549" s="10">
        <v>64457904.280000001</v>
      </c>
      <c r="G549" s="10">
        <v>6271754.0899999999</v>
      </c>
      <c r="H549" s="11">
        <v>9.73</v>
      </c>
      <c r="I549" s="11">
        <v>14.02</v>
      </c>
      <c r="J549" s="10">
        <v>14762.77</v>
      </c>
      <c r="K549" s="10">
        <v>16394.47</v>
      </c>
      <c r="L549" s="10">
        <v>64364280.890000001</v>
      </c>
      <c r="M549" s="10">
        <v>64446732.310000002</v>
      </c>
      <c r="N549" s="10">
        <v>93623.39</v>
      </c>
      <c r="O549" s="10">
        <v>64376210.469999999</v>
      </c>
      <c r="P549" s="10">
        <v>64362019.880000003</v>
      </c>
      <c r="Q549" s="10">
        <v>14190.59</v>
      </c>
      <c r="R549" s="10">
        <v>9036998.1799999997</v>
      </c>
      <c r="S549" s="10">
        <v>-2765244.09</v>
      </c>
      <c r="T549" s="10">
        <v>49722.33</v>
      </c>
      <c r="U549" s="10">
        <v>43404.49</v>
      </c>
      <c r="V549" s="10">
        <v>4939.54</v>
      </c>
      <c r="W549" s="10">
        <v>6990.04</v>
      </c>
      <c r="X549" s="10">
        <v>4715.5600000000004</v>
      </c>
      <c r="Y549" s="9">
        <v>1392344</v>
      </c>
    </row>
    <row r="550" spans="1:25" ht="16.05" customHeight="1" x14ac:dyDescent="0.3">
      <c r="A550" s="2">
        <v>3369</v>
      </c>
      <c r="B550" s="2">
        <v>49</v>
      </c>
      <c r="C550" s="2">
        <v>2023</v>
      </c>
      <c r="D550" s="3" t="s">
        <v>28</v>
      </c>
      <c r="E550" s="4">
        <v>3612</v>
      </c>
      <c r="F550" s="5">
        <v>176501260.59999999</v>
      </c>
      <c r="G550" s="5">
        <v>38759676.82</v>
      </c>
      <c r="H550" s="6">
        <v>21.96</v>
      </c>
      <c r="I550" s="6">
        <v>12.78</v>
      </c>
      <c r="J550" s="5">
        <v>3756.82</v>
      </c>
      <c r="K550" s="5">
        <v>16832.169999999998</v>
      </c>
      <c r="L550" s="5">
        <v>176449071.80000001</v>
      </c>
      <c r="M550" s="5">
        <v>176483104</v>
      </c>
      <c r="N550" s="5">
        <v>52188.81</v>
      </c>
      <c r="O550" s="5">
        <v>176461291.5</v>
      </c>
      <c r="P550" s="5">
        <v>176448753.80000001</v>
      </c>
      <c r="Q550" s="5">
        <v>12537.73</v>
      </c>
      <c r="R550" s="5">
        <v>22556861.100000001</v>
      </c>
      <c r="S550" s="5">
        <v>16202815.720000001</v>
      </c>
      <c r="T550" s="5">
        <v>43575.77</v>
      </c>
      <c r="U550" s="5">
        <v>47781.98</v>
      </c>
      <c r="V550" s="5">
        <v>5640.03</v>
      </c>
      <c r="W550" s="5">
        <v>6579.72</v>
      </c>
      <c r="X550" s="5">
        <v>3462.68</v>
      </c>
      <c r="Y550" s="4">
        <v>2108654</v>
      </c>
    </row>
    <row r="551" spans="1:25" ht="16.05" customHeight="1" x14ac:dyDescent="0.3">
      <c r="A551" s="7">
        <v>3439</v>
      </c>
      <c r="B551" s="7">
        <v>50</v>
      </c>
      <c r="C551" s="7">
        <v>2023</v>
      </c>
      <c r="D551" s="8" t="s">
        <v>28</v>
      </c>
      <c r="E551" s="9">
        <v>6934</v>
      </c>
      <c r="F551" s="10">
        <v>111077469</v>
      </c>
      <c r="G551" s="10">
        <v>22682019.16</v>
      </c>
      <c r="H551" s="11">
        <v>20.420000000000002</v>
      </c>
      <c r="I551" s="11">
        <v>16.52</v>
      </c>
      <c r="J551" s="10">
        <v>4008.27</v>
      </c>
      <c r="K551" s="10">
        <v>14131.36</v>
      </c>
      <c r="L551" s="10">
        <v>111053246.09999999</v>
      </c>
      <c r="M551" s="10">
        <v>111064779.09999999</v>
      </c>
      <c r="N551" s="10">
        <v>24222.880000000001</v>
      </c>
      <c r="O551" s="10">
        <v>111066633.09999999</v>
      </c>
      <c r="P551" s="10">
        <v>111061633.90000001</v>
      </c>
      <c r="Q551" s="10">
        <v>4999.2</v>
      </c>
      <c r="R551" s="10">
        <v>18349997.870000001</v>
      </c>
      <c r="S551" s="10">
        <v>4332021.29</v>
      </c>
      <c r="T551" s="10">
        <v>68635.47</v>
      </c>
      <c r="U551" s="10">
        <v>25487.439999999999</v>
      </c>
      <c r="V551" s="10">
        <v>5595.62</v>
      </c>
      <c r="W551" s="10">
        <v>7791.34</v>
      </c>
      <c r="X551" s="10">
        <v>4670.47</v>
      </c>
      <c r="Y551" s="9">
        <v>2212936</v>
      </c>
    </row>
    <row r="552" spans="1:25" ht="16.05" customHeight="1" x14ac:dyDescent="0.3">
      <c r="A552" s="2">
        <v>69</v>
      </c>
      <c r="B552" s="2">
        <v>1</v>
      </c>
      <c r="C552" s="2">
        <v>2023</v>
      </c>
      <c r="D552" s="3" t="s">
        <v>29</v>
      </c>
      <c r="E552" s="4">
        <v>2372</v>
      </c>
      <c r="F552" s="5">
        <v>108197666.3</v>
      </c>
      <c r="G552" s="5">
        <v>22018225.09</v>
      </c>
      <c r="H552" s="6">
        <v>20.350000000000001</v>
      </c>
      <c r="I552" s="6">
        <v>8.5299999999999994</v>
      </c>
      <c r="J552" s="5">
        <v>14640.15</v>
      </c>
      <c r="K552" s="5">
        <v>18870.490000000002</v>
      </c>
      <c r="L552" s="5">
        <v>108108725.09999999</v>
      </c>
      <c r="M552" s="5">
        <v>108189960.2</v>
      </c>
      <c r="N552" s="5">
        <v>88941.23</v>
      </c>
      <c r="O552" s="5">
        <v>108118176.8</v>
      </c>
      <c r="P552" s="5">
        <v>108109750.7</v>
      </c>
      <c r="Q552" s="5">
        <v>8426.1</v>
      </c>
      <c r="R552" s="5">
        <v>9229260.9399999995</v>
      </c>
      <c r="S552" s="5">
        <v>12788964.16</v>
      </c>
      <c r="T552" s="5">
        <v>14518.03</v>
      </c>
      <c r="U552" s="5">
        <v>11021.71</v>
      </c>
      <c r="V552" s="5">
        <v>4825.05</v>
      </c>
      <c r="W552" s="5">
        <v>4626.63</v>
      </c>
      <c r="X552" s="5">
        <v>4151.72</v>
      </c>
      <c r="Y552" s="4">
        <v>1683697</v>
      </c>
    </row>
    <row r="553" spans="1:25" ht="16.05" customHeight="1" x14ac:dyDescent="0.3">
      <c r="A553" s="7">
        <v>139</v>
      </c>
      <c r="B553" s="7">
        <v>2</v>
      </c>
      <c r="C553" s="7">
        <v>2023</v>
      </c>
      <c r="D553" s="8" t="s">
        <v>29</v>
      </c>
      <c r="E553" s="9">
        <v>4720</v>
      </c>
      <c r="F553" s="10">
        <v>36234443.850000001</v>
      </c>
      <c r="G553" s="10">
        <v>7852003.9800000004</v>
      </c>
      <c r="H553" s="11">
        <v>21.67</v>
      </c>
      <c r="I553" s="11">
        <v>13.96</v>
      </c>
      <c r="J553" s="10">
        <v>13557.11</v>
      </c>
      <c r="K553" s="10">
        <v>13321.16</v>
      </c>
      <c r="L553" s="10">
        <v>36168949.670000002</v>
      </c>
      <c r="M553" s="10">
        <v>36220902.780000001</v>
      </c>
      <c r="N553" s="10">
        <v>65494.18</v>
      </c>
      <c r="O553" s="10">
        <v>36181121.420000002</v>
      </c>
      <c r="P553" s="10">
        <v>36175117.560000002</v>
      </c>
      <c r="Q553" s="10">
        <v>6003.86</v>
      </c>
      <c r="R553" s="10">
        <v>5058328.3600000003</v>
      </c>
      <c r="S553" s="10">
        <v>2793675.62</v>
      </c>
      <c r="T553" s="10">
        <v>67139.509999999995</v>
      </c>
      <c r="U553" s="10">
        <v>23348.04</v>
      </c>
      <c r="V553" s="10">
        <v>6662.52</v>
      </c>
      <c r="W553" s="10">
        <v>5509.23</v>
      </c>
      <c r="X553" s="10">
        <v>1057.99</v>
      </c>
      <c r="Y553" s="9">
        <v>1598623</v>
      </c>
    </row>
    <row r="554" spans="1:25" ht="16.05" customHeight="1" x14ac:dyDescent="0.3">
      <c r="A554" s="2">
        <v>209</v>
      </c>
      <c r="B554" s="2">
        <v>3</v>
      </c>
      <c r="C554" s="2">
        <v>2023</v>
      </c>
      <c r="D554" s="3" t="s">
        <v>29</v>
      </c>
      <c r="E554" s="4">
        <v>5776</v>
      </c>
      <c r="F554" s="5">
        <v>153524183.69999999</v>
      </c>
      <c r="G554" s="5">
        <v>44138202.82</v>
      </c>
      <c r="H554" s="6">
        <v>28.75</v>
      </c>
      <c r="I554" s="6">
        <v>9.8000000000000007</v>
      </c>
      <c r="J554" s="5">
        <v>1380.62</v>
      </c>
      <c r="K554" s="5">
        <v>18309.98</v>
      </c>
      <c r="L554" s="5">
        <v>153508066.19999999</v>
      </c>
      <c r="M554" s="5">
        <v>153498858.30000001</v>
      </c>
      <c r="N554" s="5">
        <v>16117.5</v>
      </c>
      <c r="O554" s="5">
        <v>153521745.59999999</v>
      </c>
      <c r="P554" s="5">
        <v>153509689.90000001</v>
      </c>
      <c r="Q554" s="5">
        <v>12055.76</v>
      </c>
      <c r="R554" s="5">
        <v>15045370</v>
      </c>
      <c r="S554" s="5">
        <v>29092832.809999999</v>
      </c>
      <c r="T554" s="5">
        <v>46153.74</v>
      </c>
      <c r="U554" s="5">
        <v>13733.23</v>
      </c>
      <c r="V554" s="5">
        <v>10439.959999999999</v>
      </c>
      <c r="W554" s="5">
        <v>3239.47</v>
      </c>
      <c r="X554" s="5">
        <v>1715.05</v>
      </c>
      <c r="Y554" s="4">
        <v>2136244</v>
      </c>
    </row>
    <row r="555" spans="1:25" ht="16.05" customHeight="1" x14ac:dyDescent="0.3">
      <c r="A555" s="7">
        <v>279</v>
      </c>
      <c r="B555" s="7">
        <v>4</v>
      </c>
      <c r="C555" s="7">
        <v>2023</v>
      </c>
      <c r="D555" s="8" t="s">
        <v>29</v>
      </c>
      <c r="E555" s="9">
        <v>2862</v>
      </c>
      <c r="F555" s="10">
        <v>142073836.80000001</v>
      </c>
      <c r="G555" s="10">
        <v>7245765.6799999997</v>
      </c>
      <c r="H555" s="11">
        <v>5.0999999999999996</v>
      </c>
      <c r="I555" s="11">
        <v>6.92</v>
      </c>
      <c r="J555" s="10">
        <v>6766.97</v>
      </c>
      <c r="K555" s="10">
        <v>14458.91</v>
      </c>
      <c r="L555" s="10">
        <v>142021767.80000001</v>
      </c>
      <c r="M555" s="10">
        <v>142050212.09999999</v>
      </c>
      <c r="N555" s="10">
        <v>52069.01</v>
      </c>
      <c r="O555" s="10">
        <v>142026729.59999999</v>
      </c>
      <c r="P555" s="10">
        <v>142023122.30000001</v>
      </c>
      <c r="Q555" s="10">
        <v>3607.28</v>
      </c>
      <c r="R555" s="10">
        <v>9831509.5099999998</v>
      </c>
      <c r="S555" s="10">
        <v>-2585743.83</v>
      </c>
      <c r="T555" s="10">
        <v>66837.740000000005</v>
      </c>
      <c r="U555" s="10">
        <v>44362.95</v>
      </c>
      <c r="V555" s="10">
        <v>1011.27</v>
      </c>
      <c r="W555" s="10">
        <v>3950.51</v>
      </c>
      <c r="X555" s="10">
        <v>4469.26</v>
      </c>
      <c r="Y555" s="9">
        <v>4398622</v>
      </c>
    </row>
    <row r="556" spans="1:25" ht="16.05" customHeight="1" x14ac:dyDescent="0.3">
      <c r="A556" s="2">
        <v>349</v>
      </c>
      <c r="B556" s="2">
        <v>5</v>
      </c>
      <c r="C556" s="2">
        <v>2023</v>
      </c>
      <c r="D556" s="3" t="s">
        <v>29</v>
      </c>
      <c r="E556" s="4">
        <v>2817</v>
      </c>
      <c r="F556" s="5">
        <v>192232499.90000001</v>
      </c>
      <c r="G556" s="5">
        <v>15378599.99</v>
      </c>
      <c r="H556" s="6">
        <v>8</v>
      </c>
      <c r="I556" s="6">
        <v>13.19</v>
      </c>
      <c r="J556" s="5">
        <v>5453.54</v>
      </c>
      <c r="K556" s="5">
        <v>5785.52</v>
      </c>
      <c r="L556" s="5">
        <v>192204254.90000001</v>
      </c>
      <c r="M556" s="5">
        <v>192217411.19999999</v>
      </c>
      <c r="N556" s="5">
        <v>28245.01</v>
      </c>
      <c r="O556" s="5">
        <v>192211412.19999999</v>
      </c>
      <c r="P556" s="5">
        <v>192210054.09999999</v>
      </c>
      <c r="Q556" s="5">
        <v>1358.08</v>
      </c>
      <c r="R556" s="5">
        <v>25355466.73</v>
      </c>
      <c r="S556" s="5">
        <v>-9976866.7400000002</v>
      </c>
      <c r="T556" s="5">
        <v>76817.149999999994</v>
      </c>
      <c r="U556" s="5">
        <v>20147.71</v>
      </c>
      <c r="V556" s="5">
        <v>1709.64</v>
      </c>
      <c r="W556" s="5">
        <v>5447.65</v>
      </c>
      <c r="X556" s="5">
        <v>3865.69</v>
      </c>
      <c r="Y556" s="4">
        <v>4653867</v>
      </c>
    </row>
    <row r="557" spans="1:25" ht="16.05" customHeight="1" x14ac:dyDescent="0.3">
      <c r="A557" s="7">
        <v>419</v>
      </c>
      <c r="B557" s="7">
        <v>6</v>
      </c>
      <c r="C557" s="7">
        <v>2023</v>
      </c>
      <c r="D557" s="8" t="s">
        <v>29</v>
      </c>
      <c r="E557" s="9">
        <v>6604</v>
      </c>
      <c r="F557" s="10">
        <v>130051997.7</v>
      </c>
      <c r="G557" s="10">
        <v>24202676.760000002</v>
      </c>
      <c r="H557" s="11">
        <v>18.61</v>
      </c>
      <c r="I557" s="11">
        <v>13.35</v>
      </c>
      <c r="J557" s="10">
        <v>4653.84</v>
      </c>
      <c r="K557" s="10">
        <v>2849.77</v>
      </c>
      <c r="L557" s="10">
        <v>129980857.59999999</v>
      </c>
      <c r="M557" s="10">
        <v>130036209.59999999</v>
      </c>
      <c r="N557" s="10">
        <v>71140.039999999994</v>
      </c>
      <c r="O557" s="10">
        <v>129996130.8</v>
      </c>
      <c r="P557" s="10">
        <v>129982557.40000001</v>
      </c>
      <c r="Q557" s="10">
        <v>13573.36</v>
      </c>
      <c r="R557" s="10">
        <v>17361941.690000001</v>
      </c>
      <c r="S557" s="10">
        <v>6840735.0800000001</v>
      </c>
      <c r="T557" s="10">
        <v>53505.22</v>
      </c>
      <c r="U557" s="10">
        <v>9353.8799999999992</v>
      </c>
      <c r="V557" s="10">
        <v>9964.34</v>
      </c>
      <c r="W557" s="10">
        <v>5308.8</v>
      </c>
      <c r="X557" s="10">
        <v>3601.2</v>
      </c>
      <c r="Y557" s="9">
        <v>4269866</v>
      </c>
    </row>
    <row r="558" spans="1:25" ht="16.05" customHeight="1" x14ac:dyDescent="0.3">
      <c r="A558" s="2">
        <v>489</v>
      </c>
      <c r="B558" s="2">
        <v>7</v>
      </c>
      <c r="C558" s="2">
        <v>2023</v>
      </c>
      <c r="D558" s="3" t="s">
        <v>29</v>
      </c>
      <c r="E558" s="4">
        <v>5227</v>
      </c>
      <c r="F558" s="5">
        <v>332700602</v>
      </c>
      <c r="G558" s="5">
        <v>44947851.329999998</v>
      </c>
      <c r="H558" s="6">
        <v>13.51</v>
      </c>
      <c r="I558" s="6">
        <v>10.35</v>
      </c>
      <c r="J558" s="5">
        <v>12185.03</v>
      </c>
      <c r="K558" s="5">
        <v>14712.39</v>
      </c>
      <c r="L558" s="5">
        <v>332668024.69999999</v>
      </c>
      <c r="M558" s="5">
        <v>332680134.39999998</v>
      </c>
      <c r="N558" s="5">
        <v>32577.32</v>
      </c>
      <c r="O558" s="5">
        <v>332672000.60000002</v>
      </c>
      <c r="P558" s="5">
        <v>332659657.69999999</v>
      </c>
      <c r="Q558" s="5">
        <v>12342.96</v>
      </c>
      <c r="R558" s="5">
        <v>34434512.310000002</v>
      </c>
      <c r="S558" s="5">
        <v>10513339.02</v>
      </c>
      <c r="T558" s="5">
        <v>43159.29</v>
      </c>
      <c r="U558" s="5">
        <v>31979.46</v>
      </c>
      <c r="V558" s="5">
        <v>2330.4899999999998</v>
      </c>
      <c r="W558" s="5">
        <v>1645.42</v>
      </c>
      <c r="X558" s="5">
        <v>1460.17</v>
      </c>
      <c r="Y558" s="4">
        <v>3292371</v>
      </c>
    </row>
    <row r="559" spans="1:25" ht="16.05" customHeight="1" x14ac:dyDescent="0.3">
      <c r="A559" s="7">
        <v>559</v>
      </c>
      <c r="B559" s="7">
        <v>8</v>
      </c>
      <c r="C559" s="7">
        <v>2023</v>
      </c>
      <c r="D559" s="8" t="s">
        <v>29</v>
      </c>
      <c r="E559" s="9">
        <v>3282</v>
      </c>
      <c r="F559" s="10">
        <v>176942280.80000001</v>
      </c>
      <c r="G559" s="10">
        <v>30221741.559999999</v>
      </c>
      <c r="H559" s="11">
        <v>17.079999999999998</v>
      </c>
      <c r="I559" s="11">
        <v>18.850000000000001</v>
      </c>
      <c r="J559" s="10">
        <v>13562.63</v>
      </c>
      <c r="K559" s="10">
        <v>10288.94</v>
      </c>
      <c r="L559" s="10">
        <v>176890218.69999999</v>
      </c>
      <c r="M559" s="10">
        <v>176934978.5</v>
      </c>
      <c r="N559" s="10">
        <v>52062.07</v>
      </c>
      <c r="O559" s="10">
        <v>176895320.40000001</v>
      </c>
      <c r="P559" s="10">
        <v>176889144.19999999</v>
      </c>
      <c r="Q559" s="10">
        <v>6176.19</v>
      </c>
      <c r="R559" s="10">
        <v>33353619.93</v>
      </c>
      <c r="S559" s="10">
        <v>-3131878.37</v>
      </c>
      <c r="T559" s="10">
        <v>86124.45</v>
      </c>
      <c r="U559" s="10">
        <v>11899.99</v>
      </c>
      <c r="V559" s="10">
        <v>2277.12</v>
      </c>
      <c r="W559" s="10">
        <v>2824.5</v>
      </c>
      <c r="X559" s="10">
        <v>1368.75</v>
      </c>
      <c r="Y559" s="9">
        <v>3081887</v>
      </c>
    </row>
    <row r="560" spans="1:25" ht="16.05" customHeight="1" x14ac:dyDescent="0.3">
      <c r="A560" s="2">
        <v>629</v>
      </c>
      <c r="B560" s="2">
        <v>9</v>
      </c>
      <c r="C560" s="2">
        <v>2023</v>
      </c>
      <c r="D560" s="3" t="s">
        <v>29</v>
      </c>
      <c r="E560" s="4">
        <v>6737</v>
      </c>
      <c r="F560" s="5">
        <v>167077517.09999999</v>
      </c>
      <c r="G560" s="5">
        <v>11344563.41</v>
      </c>
      <c r="H560" s="6">
        <v>6.79</v>
      </c>
      <c r="I560" s="6">
        <v>16.52</v>
      </c>
      <c r="J560" s="5">
        <v>6002.44</v>
      </c>
      <c r="K560" s="5">
        <v>6312.92</v>
      </c>
      <c r="L560" s="5">
        <v>167047752.5</v>
      </c>
      <c r="M560" s="5">
        <v>167067100.30000001</v>
      </c>
      <c r="N560" s="5">
        <v>29764.52</v>
      </c>
      <c r="O560" s="5">
        <v>167062001.5</v>
      </c>
      <c r="P560" s="5">
        <v>167057134.80000001</v>
      </c>
      <c r="Q560" s="5">
        <v>4866.6499999999996</v>
      </c>
      <c r="R560" s="5">
        <v>27601205.82</v>
      </c>
      <c r="S560" s="5">
        <v>-16256642.41</v>
      </c>
      <c r="T560" s="5">
        <v>94137.279999999999</v>
      </c>
      <c r="U560" s="5">
        <v>17454.48</v>
      </c>
      <c r="V560" s="5">
        <v>10847.48</v>
      </c>
      <c r="W560" s="5">
        <v>3401.45</v>
      </c>
      <c r="X560" s="5">
        <v>3969.52</v>
      </c>
      <c r="Y560" s="4">
        <v>3884290</v>
      </c>
    </row>
    <row r="561" spans="1:25" ht="16.05" customHeight="1" x14ac:dyDescent="0.3">
      <c r="A561" s="7">
        <v>699</v>
      </c>
      <c r="B561" s="7">
        <v>10</v>
      </c>
      <c r="C561" s="7">
        <v>2023</v>
      </c>
      <c r="D561" s="8" t="s">
        <v>29</v>
      </c>
      <c r="E561" s="9">
        <v>5125</v>
      </c>
      <c r="F561" s="10">
        <v>343255417.5</v>
      </c>
      <c r="G561" s="10">
        <v>26567969.309999999</v>
      </c>
      <c r="H561" s="11">
        <v>7.74</v>
      </c>
      <c r="I561" s="11">
        <v>8.5299999999999994</v>
      </c>
      <c r="J561" s="10">
        <v>1898.17</v>
      </c>
      <c r="K561" s="10">
        <v>11803.72</v>
      </c>
      <c r="L561" s="10">
        <v>343188659.80000001</v>
      </c>
      <c r="M561" s="10">
        <v>343240120.5</v>
      </c>
      <c r="N561" s="10">
        <v>66757.67</v>
      </c>
      <c r="O561" s="10">
        <v>343202719.30000001</v>
      </c>
      <c r="P561" s="10">
        <v>343197523.30000001</v>
      </c>
      <c r="Q561" s="10">
        <v>5196.0200000000004</v>
      </c>
      <c r="R561" s="10">
        <v>29279687.109999999</v>
      </c>
      <c r="S561" s="10">
        <v>-2711717.8</v>
      </c>
      <c r="T561" s="10">
        <v>55903.33</v>
      </c>
      <c r="U561" s="10">
        <v>50562.74</v>
      </c>
      <c r="V561" s="10">
        <v>9093.57</v>
      </c>
      <c r="W561" s="10">
        <v>4965.91</v>
      </c>
      <c r="X561" s="10">
        <v>4660.05</v>
      </c>
      <c r="Y561" s="9">
        <v>2519480</v>
      </c>
    </row>
    <row r="562" spans="1:25" ht="16.05" customHeight="1" x14ac:dyDescent="0.3">
      <c r="A562" s="2">
        <v>769</v>
      </c>
      <c r="B562" s="2">
        <v>11</v>
      </c>
      <c r="C562" s="2">
        <v>2023</v>
      </c>
      <c r="D562" s="3" t="s">
        <v>29</v>
      </c>
      <c r="E562" s="4">
        <v>604</v>
      </c>
      <c r="F562" s="5">
        <v>38080675.219999999</v>
      </c>
      <c r="G562" s="5">
        <v>4276459.83</v>
      </c>
      <c r="H562" s="6">
        <v>11.23</v>
      </c>
      <c r="I562" s="6">
        <v>12.92</v>
      </c>
      <c r="J562" s="5">
        <v>14352.92</v>
      </c>
      <c r="K562" s="5">
        <v>14269.91</v>
      </c>
      <c r="L562" s="5">
        <v>37992099.609999999</v>
      </c>
      <c r="M562" s="5">
        <v>38073264.689999998</v>
      </c>
      <c r="N562" s="5">
        <v>88575.61</v>
      </c>
      <c r="O562" s="5">
        <v>37998204.479999997</v>
      </c>
      <c r="P562" s="5">
        <v>37991186.579999998</v>
      </c>
      <c r="Q562" s="5">
        <v>7017.9</v>
      </c>
      <c r="R562" s="5">
        <v>4920023.24</v>
      </c>
      <c r="S562" s="5">
        <v>-643563.41</v>
      </c>
      <c r="T562" s="5">
        <v>23260.400000000001</v>
      </c>
      <c r="U562" s="5">
        <v>41649.17</v>
      </c>
      <c r="V562" s="5">
        <v>4147.1400000000003</v>
      </c>
      <c r="W562" s="5">
        <v>1957.73</v>
      </c>
      <c r="X562" s="5">
        <v>2800.47</v>
      </c>
      <c r="Y562" s="4">
        <v>1191897</v>
      </c>
    </row>
    <row r="563" spans="1:25" ht="16.05" customHeight="1" x14ac:dyDescent="0.3">
      <c r="A563" s="7">
        <v>839</v>
      </c>
      <c r="B563" s="7">
        <v>12</v>
      </c>
      <c r="C563" s="7">
        <v>2023</v>
      </c>
      <c r="D563" s="8" t="s">
        <v>29</v>
      </c>
      <c r="E563" s="9">
        <v>2694</v>
      </c>
      <c r="F563" s="10">
        <v>34809991.119999997</v>
      </c>
      <c r="G563" s="10">
        <v>6965479.2199999997</v>
      </c>
      <c r="H563" s="11">
        <v>20.010000000000002</v>
      </c>
      <c r="I563" s="11">
        <v>18.21</v>
      </c>
      <c r="J563" s="10">
        <v>11126.64</v>
      </c>
      <c r="K563" s="10">
        <v>6166.22</v>
      </c>
      <c r="L563" s="10">
        <v>34772066.340000004</v>
      </c>
      <c r="M563" s="10">
        <v>34802566.159999996</v>
      </c>
      <c r="N563" s="10">
        <v>37924.78</v>
      </c>
      <c r="O563" s="10">
        <v>34785566.770000003</v>
      </c>
      <c r="P563" s="10">
        <v>34775938.670000002</v>
      </c>
      <c r="Q563" s="10">
        <v>9628.1</v>
      </c>
      <c r="R563" s="10">
        <v>6338899.3799999999</v>
      </c>
      <c r="S563" s="10">
        <v>626579.84</v>
      </c>
      <c r="T563" s="10">
        <v>82363.78</v>
      </c>
      <c r="U563" s="10">
        <v>15705.91</v>
      </c>
      <c r="V563" s="10">
        <v>7111.81</v>
      </c>
      <c r="W563" s="10">
        <v>6388.62</v>
      </c>
      <c r="X563" s="10">
        <v>4411.1400000000003</v>
      </c>
      <c r="Y563" s="9">
        <v>1569192</v>
      </c>
    </row>
    <row r="564" spans="1:25" ht="16.05" customHeight="1" x14ac:dyDescent="0.3">
      <c r="A564" s="2">
        <v>909</v>
      </c>
      <c r="B564" s="2">
        <v>13</v>
      </c>
      <c r="C564" s="2">
        <v>2023</v>
      </c>
      <c r="D564" s="3" t="s">
        <v>29</v>
      </c>
      <c r="E564" s="4">
        <v>5228</v>
      </c>
      <c r="F564" s="5">
        <v>237191186</v>
      </c>
      <c r="G564" s="5">
        <v>65820554.109999999</v>
      </c>
      <c r="H564" s="6">
        <v>27.75</v>
      </c>
      <c r="I564" s="6">
        <v>6.69</v>
      </c>
      <c r="J564" s="5">
        <v>6267.39</v>
      </c>
      <c r="K564" s="5">
        <v>16505.900000000001</v>
      </c>
      <c r="L564" s="5">
        <v>237154755.59999999</v>
      </c>
      <c r="M564" s="5">
        <v>237166597.80000001</v>
      </c>
      <c r="N564" s="5">
        <v>36430.42</v>
      </c>
      <c r="O564" s="5">
        <v>237163266.59999999</v>
      </c>
      <c r="P564" s="5">
        <v>237159538.59999999</v>
      </c>
      <c r="Q564" s="5">
        <v>3727.99</v>
      </c>
      <c r="R564" s="5">
        <v>15868090.34</v>
      </c>
      <c r="S564" s="5">
        <v>49952463.770000003</v>
      </c>
      <c r="T564" s="5">
        <v>114746.74</v>
      </c>
      <c r="U564" s="5">
        <v>38528.9</v>
      </c>
      <c r="V564" s="5">
        <v>2781.19</v>
      </c>
      <c r="W564" s="5">
        <v>5729.84</v>
      </c>
      <c r="X564" s="5">
        <v>2243.6</v>
      </c>
      <c r="Y564" s="4">
        <v>2357509</v>
      </c>
    </row>
    <row r="565" spans="1:25" ht="16.05" customHeight="1" x14ac:dyDescent="0.3">
      <c r="A565" s="7">
        <v>979</v>
      </c>
      <c r="B565" s="7">
        <v>14</v>
      </c>
      <c r="C565" s="7">
        <v>2023</v>
      </c>
      <c r="D565" s="8" t="s">
        <v>29</v>
      </c>
      <c r="E565" s="9">
        <v>6660</v>
      </c>
      <c r="F565" s="10">
        <v>47929321.880000003</v>
      </c>
      <c r="G565" s="10">
        <v>11713926.27</v>
      </c>
      <c r="H565" s="11">
        <v>24.44</v>
      </c>
      <c r="I565" s="11">
        <v>7.62</v>
      </c>
      <c r="J565" s="10">
        <v>10803.09</v>
      </c>
      <c r="K565" s="10">
        <v>7707.86</v>
      </c>
      <c r="L565" s="10">
        <v>47852192.979999997</v>
      </c>
      <c r="M565" s="10">
        <v>47910892.43</v>
      </c>
      <c r="N565" s="10">
        <v>77128.899999999994</v>
      </c>
      <c r="O565" s="10">
        <v>47865122.960000001</v>
      </c>
      <c r="P565" s="10">
        <v>47852409.270000003</v>
      </c>
      <c r="Q565" s="10">
        <v>12713.69</v>
      </c>
      <c r="R565" s="10">
        <v>3652214.33</v>
      </c>
      <c r="S565" s="10">
        <v>8061711.9400000004</v>
      </c>
      <c r="T565" s="10">
        <v>90461.8</v>
      </c>
      <c r="U565" s="10">
        <v>19331.580000000002</v>
      </c>
      <c r="V565" s="10">
        <v>8375.35</v>
      </c>
      <c r="W565" s="10">
        <v>4554.63</v>
      </c>
      <c r="X565" s="10">
        <v>3813.53</v>
      </c>
      <c r="Y565" s="9">
        <v>2373199</v>
      </c>
    </row>
    <row r="566" spans="1:25" ht="16.05" customHeight="1" x14ac:dyDescent="0.3">
      <c r="A566" s="2">
        <v>1049</v>
      </c>
      <c r="B566" s="2">
        <v>15</v>
      </c>
      <c r="C566" s="2">
        <v>2023</v>
      </c>
      <c r="D566" s="3" t="s">
        <v>29</v>
      </c>
      <c r="E566" s="4">
        <v>2284</v>
      </c>
      <c r="F566" s="5">
        <v>145540367.30000001</v>
      </c>
      <c r="G566" s="5">
        <v>20724948.309999999</v>
      </c>
      <c r="H566" s="6">
        <v>14.24</v>
      </c>
      <c r="I566" s="6">
        <v>17.29</v>
      </c>
      <c r="J566" s="5">
        <v>2704.83</v>
      </c>
      <c r="K566" s="5">
        <v>17996.919999999998</v>
      </c>
      <c r="L566" s="5">
        <v>145460581.30000001</v>
      </c>
      <c r="M566" s="5">
        <v>145530378.09999999</v>
      </c>
      <c r="N566" s="5">
        <v>79785.990000000005</v>
      </c>
      <c r="O566" s="5">
        <v>145471336.40000001</v>
      </c>
      <c r="P566" s="5">
        <v>145470166.59999999</v>
      </c>
      <c r="Q566" s="5">
        <v>1169.8499999999999</v>
      </c>
      <c r="R566" s="5">
        <v>25163929.510000002</v>
      </c>
      <c r="S566" s="5">
        <v>-4438981.2</v>
      </c>
      <c r="T566" s="5">
        <v>111627.2</v>
      </c>
      <c r="U566" s="5">
        <v>44108.35</v>
      </c>
      <c r="V566" s="5">
        <v>7901</v>
      </c>
      <c r="W566" s="5">
        <v>2854.08</v>
      </c>
      <c r="X566" s="5">
        <v>3753.33</v>
      </c>
      <c r="Y566" s="4">
        <v>3839169</v>
      </c>
    </row>
    <row r="567" spans="1:25" ht="16.05" customHeight="1" x14ac:dyDescent="0.3">
      <c r="A567" s="7">
        <v>1119</v>
      </c>
      <c r="B567" s="7">
        <v>16</v>
      </c>
      <c r="C567" s="7">
        <v>2023</v>
      </c>
      <c r="D567" s="8" t="s">
        <v>29</v>
      </c>
      <c r="E567" s="9">
        <v>5611</v>
      </c>
      <c r="F567" s="10">
        <v>267694288.40000001</v>
      </c>
      <c r="G567" s="10">
        <v>27706358.850000001</v>
      </c>
      <c r="H567" s="11">
        <v>10.35</v>
      </c>
      <c r="I567" s="11">
        <v>8.91</v>
      </c>
      <c r="J567" s="10">
        <v>12180.26</v>
      </c>
      <c r="K567" s="10">
        <v>4139.04</v>
      </c>
      <c r="L567" s="10">
        <v>267637616.90000001</v>
      </c>
      <c r="M567" s="10">
        <v>267680571.30000001</v>
      </c>
      <c r="N567" s="10">
        <v>56671.55</v>
      </c>
      <c r="O567" s="10">
        <v>267652692.40000001</v>
      </c>
      <c r="P567" s="10">
        <v>267645081.40000001</v>
      </c>
      <c r="Q567" s="10">
        <v>7611.04</v>
      </c>
      <c r="R567" s="10">
        <v>23851561.100000001</v>
      </c>
      <c r="S567" s="10">
        <v>3854797.75</v>
      </c>
      <c r="T567" s="10">
        <v>32768.800000000003</v>
      </c>
      <c r="U567" s="10">
        <v>46107.97</v>
      </c>
      <c r="V567" s="10">
        <v>8375.98</v>
      </c>
      <c r="W567" s="10">
        <v>6699.59</v>
      </c>
      <c r="X567" s="10">
        <v>3682.26</v>
      </c>
      <c r="Y567" s="9">
        <v>3997361</v>
      </c>
    </row>
    <row r="568" spans="1:25" ht="16.05" customHeight="1" x14ac:dyDescent="0.3">
      <c r="A568" s="2">
        <v>1189</v>
      </c>
      <c r="B568" s="2">
        <v>17</v>
      </c>
      <c r="C568" s="2">
        <v>2023</v>
      </c>
      <c r="D568" s="3" t="s">
        <v>29</v>
      </c>
      <c r="E568" s="4">
        <v>1691</v>
      </c>
      <c r="F568" s="5">
        <v>36821505.399999999</v>
      </c>
      <c r="G568" s="5">
        <v>10100138.93</v>
      </c>
      <c r="H568" s="6">
        <v>27.43</v>
      </c>
      <c r="I568" s="6">
        <v>7.51</v>
      </c>
      <c r="J568" s="5">
        <v>9184.6299999999992</v>
      </c>
      <c r="K568" s="5">
        <v>10273.790000000001</v>
      </c>
      <c r="L568" s="5">
        <v>36785306.960000001</v>
      </c>
      <c r="M568" s="5">
        <v>36809826.590000004</v>
      </c>
      <c r="N568" s="5">
        <v>36198.44</v>
      </c>
      <c r="O568" s="5">
        <v>36797946.840000004</v>
      </c>
      <c r="P568" s="5">
        <v>36788990.560000002</v>
      </c>
      <c r="Q568" s="5">
        <v>8956.2800000000007</v>
      </c>
      <c r="R568" s="5">
        <v>2765295.06</v>
      </c>
      <c r="S568" s="5">
        <v>7334843.8799999999</v>
      </c>
      <c r="T568" s="5">
        <v>47094.04</v>
      </c>
      <c r="U568" s="5">
        <v>10759.79</v>
      </c>
      <c r="V568" s="5">
        <v>6836.42</v>
      </c>
      <c r="W568" s="5">
        <v>5803.46</v>
      </c>
      <c r="X568" s="5">
        <v>1113.6300000000001</v>
      </c>
      <c r="Y568" s="4">
        <v>3747237</v>
      </c>
    </row>
    <row r="569" spans="1:25" ht="16.05" customHeight="1" x14ac:dyDescent="0.3">
      <c r="A569" s="7">
        <v>1259</v>
      </c>
      <c r="B569" s="7">
        <v>18</v>
      </c>
      <c r="C569" s="7">
        <v>2023</v>
      </c>
      <c r="D569" s="8" t="s">
        <v>29</v>
      </c>
      <c r="E569" s="9">
        <v>2042</v>
      </c>
      <c r="F569" s="10">
        <v>19035900.75</v>
      </c>
      <c r="G569" s="10">
        <v>1477185.9</v>
      </c>
      <c r="H569" s="11">
        <v>7.76</v>
      </c>
      <c r="I569" s="11">
        <v>12.48</v>
      </c>
      <c r="J569" s="10">
        <v>8821.26</v>
      </c>
      <c r="K569" s="10">
        <v>15805.57</v>
      </c>
      <c r="L569" s="10">
        <v>18993089.550000001</v>
      </c>
      <c r="M569" s="10">
        <v>19024643.629999999</v>
      </c>
      <c r="N569" s="10">
        <v>42811.199999999997</v>
      </c>
      <c r="O569" s="10">
        <v>19000776.219999999</v>
      </c>
      <c r="P569" s="10">
        <v>18999760.280000001</v>
      </c>
      <c r="Q569" s="10">
        <v>1015.94</v>
      </c>
      <c r="R569" s="10">
        <v>2375680.41</v>
      </c>
      <c r="S569" s="10">
        <v>-898494.52</v>
      </c>
      <c r="T569" s="10">
        <v>99472.14</v>
      </c>
      <c r="U569" s="10">
        <v>33228.550000000003</v>
      </c>
      <c r="V569" s="10">
        <v>2046.61</v>
      </c>
      <c r="W569" s="10">
        <v>5640.06</v>
      </c>
      <c r="X569" s="10">
        <v>3020.74</v>
      </c>
      <c r="Y569" s="9">
        <v>1374649</v>
      </c>
    </row>
    <row r="570" spans="1:25" ht="16.05" customHeight="1" x14ac:dyDescent="0.3">
      <c r="A570" s="2">
        <v>1329</v>
      </c>
      <c r="B570" s="2">
        <v>19</v>
      </c>
      <c r="C570" s="2">
        <v>2023</v>
      </c>
      <c r="D570" s="3" t="s">
        <v>29</v>
      </c>
      <c r="E570" s="4">
        <v>5013</v>
      </c>
      <c r="F570" s="5">
        <v>292162111.39999998</v>
      </c>
      <c r="G570" s="5">
        <v>33481777.960000001</v>
      </c>
      <c r="H570" s="6">
        <v>11.46</v>
      </c>
      <c r="I570" s="6">
        <v>18.84</v>
      </c>
      <c r="J570" s="5">
        <v>12063.14</v>
      </c>
      <c r="K570" s="5">
        <v>19140.77</v>
      </c>
      <c r="L570" s="5">
        <v>292141553.69999999</v>
      </c>
      <c r="M570" s="5">
        <v>292155793.69999999</v>
      </c>
      <c r="N570" s="5">
        <v>20557.66</v>
      </c>
      <c r="O570" s="5">
        <v>292152528.30000001</v>
      </c>
      <c r="P570" s="5">
        <v>292146648.60000002</v>
      </c>
      <c r="Q570" s="5">
        <v>5879.68</v>
      </c>
      <c r="R570" s="5">
        <v>55043341.780000001</v>
      </c>
      <c r="S570" s="5">
        <v>-21561563.82</v>
      </c>
      <c r="T570" s="5">
        <v>72372.37</v>
      </c>
      <c r="U570" s="5">
        <v>30718.23</v>
      </c>
      <c r="V570" s="5">
        <v>7342.43</v>
      </c>
      <c r="W570" s="5">
        <v>3632.12</v>
      </c>
      <c r="X570" s="5">
        <v>3478.91</v>
      </c>
      <c r="Y570" s="4">
        <v>3894293</v>
      </c>
    </row>
    <row r="571" spans="1:25" ht="16.05" customHeight="1" x14ac:dyDescent="0.3">
      <c r="A571" s="7">
        <v>1399</v>
      </c>
      <c r="B571" s="7">
        <v>20</v>
      </c>
      <c r="C571" s="7">
        <v>2023</v>
      </c>
      <c r="D571" s="8" t="s">
        <v>29</v>
      </c>
      <c r="E571" s="9">
        <v>6146</v>
      </c>
      <c r="F571" s="10">
        <v>137511727.5</v>
      </c>
      <c r="G571" s="10">
        <v>28643692.84</v>
      </c>
      <c r="H571" s="11">
        <v>20.83</v>
      </c>
      <c r="I571" s="11">
        <v>10.95</v>
      </c>
      <c r="J571" s="10">
        <v>7519.81</v>
      </c>
      <c r="K571" s="10">
        <v>5501.62</v>
      </c>
      <c r="L571" s="10">
        <v>137427653.09999999</v>
      </c>
      <c r="M571" s="10">
        <v>137494989.90000001</v>
      </c>
      <c r="N571" s="10">
        <v>84074.47</v>
      </c>
      <c r="O571" s="10">
        <v>137433915.19999999</v>
      </c>
      <c r="P571" s="10">
        <v>137431819.30000001</v>
      </c>
      <c r="Q571" s="10">
        <v>2095.92</v>
      </c>
      <c r="R571" s="10">
        <v>15057534.16</v>
      </c>
      <c r="S571" s="10">
        <v>13586158.68</v>
      </c>
      <c r="T571" s="10">
        <v>58137.07</v>
      </c>
      <c r="U571" s="10">
        <v>45992.79</v>
      </c>
      <c r="V571" s="10">
        <v>4410.3999999999996</v>
      </c>
      <c r="W571" s="10">
        <v>1851.76</v>
      </c>
      <c r="X571" s="10">
        <v>3267.95</v>
      </c>
      <c r="Y571" s="9">
        <v>3159806</v>
      </c>
    </row>
    <row r="572" spans="1:25" ht="16.05" customHeight="1" x14ac:dyDescent="0.3">
      <c r="A572" s="2">
        <v>1469</v>
      </c>
      <c r="B572" s="2">
        <v>21</v>
      </c>
      <c r="C572" s="2">
        <v>2023</v>
      </c>
      <c r="D572" s="3" t="s">
        <v>29</v>
      </c>
      <c r="E572" s="4">
        <v>5653</v>
      </c>
      <c r="F572" s="5">
        <v>190912558</v>
      </c>
      <c r="G572" s="5">
        <v>44100800.899999999</v>
      </c>
      <c r="H572" s="6">
        <v>23.1</v>
      </c>
      <c r="I572" s="6">
        <v>7.71</v>
      </c>
      <c r="J572" s="5">
        <v>7744.07</v>
      </c>
      <c r="K572" s="5">
        <v>2419.91</v>
      </c>
      <c r="L572" s="5">
        <v>190884838.69999999</v>
      </c>
      <c r="M572" s="5">
        <v>190906747</v>
      </c>
      <c r="N572" s="5">
        <v>27719.3</v>
      </c>
      <c r="O572" s="5">
        <v>190890663.90000001</v>
      </c>
      <c r="P572" s="5">
        <v>190881090.09999999</v>
      </c>
      <c r="Q572" s="5">
        <v>9573.7999999999993</v>
      </c>
      <c r="R572" s="5">
        <v>14719358.220000001</v>
      </c>
      <c r="S572" s="5">
        <v>29381442.68</v>
      </c>
      <c r="T572" s="5">
        <v>26021.38</v>
      </c>
      <c r="U572" s="5">
        <v>16132.74</v>
      </c>
      <c r="V572" s="5">
        <v>1488.18</v>
      </c>
      <c r="W572" s="5">
        <v>4337.04</v>
      </c>
      <c r="X572" s="5">
        <v>4360.91</v>
      </c>
      <c r="Y572" s="4">
        <v>3949523</v>
      </c>
    </row>
    <row r="573" spans="1:25" ht="16.05" customHeight="1" x14ac:dyDescent="0.3">
      <c r="A573" s="7">
        <v>1539</v>
      </c>
      <c r="B573" s="7">
        <v>22</v>
      </c>
      <c r="C573" s="7">
        <v>2023</v>
      </c>
      <c r="D573" s="8" t="s">
        <v>29</v>
      </c>
      <c r="E573" s="9">
        <v>1501</v>
      </c>
      <c r="F573" s="10">
        <v>68196029.370000005</v>
      </c>
      <c r="G573" s="10">
        <v>19019872.59</v>
      </c>
      <c r="H573" s="11">
        <v>27.89</v>
      </c>
      <c r="I573" s="11">
        <v>15.38</v>
      </c>
      <c r="J573" s="10">
        <v>6401.79</v>
      </c>
      <c r="K573" s="10">
        <v>4873.2</v>
      </c>
      <c r="L573" s="10">
        <v>68112036.569999993</v>
      </c>
      <c r="M573" s="10">
        <v>68187080.109999999</v>
      </c>
      <c r="N573" s="10">
        <v>83992.8</v>
      </c>
      <c r="O573" s="10">
        <v>68123310.049999997</v>
      </c>
      <c r="P573" s="10">
        <v>68119455</v>
      </c>
      <c r="Q573" s="10">
        <v>3855.05</v>
      </c>
      <c r="R573" s="10">
        <v>10488549.32</v>
      </c>
      <c r="S573" s="10">
        <v>8531323.2799999993</v>
      </c>
      <c r="T573" s="10">
        <v>18356.27</v>
      </c>
      <c r="U573" s="10">
        <v>45915.5</v>
      </c>
      <c r="V573" s="10">
        <v>5812.5</v>
      </c>
      <c r="W573" s="10">
        <v>5460.98</v>
      </c>
      <c r="X573" s="10">
        <v>2204.62</v>
      </c>
      <c r="Y573" s="9">
        <v>3770479</v>
      </c>
    </row>
    <row r="574" spans="1:25" ht="16.05" customHeight="1" x14ac:dyDescent="0.3">
      <c r="A574" s="2">
        <v>1609</v>
      </c>
      <c r="B574" s="2">
        <v>23</v>
      </c>
      <c r="C574" s="2">
        <v>2023</v>
      </c>
      <c r="D574" s="3" t="s">
        <v>29</v>
      </c>
      <c r="E574" s="4">
        <v>3947</v>
      </c>
      <c r="F574" s="5">
        <v>31490117.870000001</v>
      </c>
      <c r="G574" s="5">
        <v>7822145.2800000003</v>
      </c>
      <c r="H574" s="6">
        <v>24.84</v>
      </c>
      <c r="I574" s="6">
        <v>19.07</v>
      </c>
      <c r="J574" s="5">
        <v>7900.34</v>
      </c>
      <c r="K574" s="5">
        <v>6392.95</v>
      </c>
      <c r="L574" s="5">
        <v>31439653.739999998</v>
      </c>
      <c r="M574" s="5">
        <v>31478841.760000002</v>
      </c>
      <c r="N574" s="5">
        <v>50464.13</v>
      </c>
      <c r="O574" s="5">
        <v>31449252.780000001</v>
      </c>
      <c r="P574" s="5">
        <v>31438712.079999998</v>
      </c>
      <c r="Q574" s="5">
        <v>10540.7</v>
      </c>
      <c r="R574" s="5">
        <v>6005165.4800000004</v>
      </c>
      <c r="S574" s="5">
        <v>1816979.8</v>
      </c>
      <c r="T574" s="5">
        <v>18297</v>
      </c>
      <c r="U574" s="5">
        <v>16028.34</v>
      </c>
      <c r="V574" s="5">
        <v>1644.04</v>
      </c>
      <c r="W574" s="5">
        <v>7955</v>
      </c>
      <c r="X574" s="5">
        <v>1132.45</v>
      </c>
      <c r="Y574" s="4">
        <v>2257514</v>
      </c>
    </row>
    <row r="575" spans="1:25" ht="16.05" customHeight="1" x14ac:dyDescent="0.3">
      <c r="A575" s="7">
        <v>1679</v>
      </c>
      <c r="B575" s="7">
        <v>24</v>
      </c>
      <c r="C575" s="7">
        <v>2023</v>
      </c>
      <c r="D575" s="8" t="s">
        <v>29</v>
      </c>
      <c r="E575" s="9">
        <v>3266</v>
      </c>
      <c r="F575" s="10">
        <v>130580541.8</v>
      </c>
      <c r="G575" s="10">
        <v>16427032.16</v>
      </c>
      <c r="H575" s="11">
        <v>12.58</v>
      </c>
      <c r="I575" s="11">
        <v>5.07</v>
      </c>
      <c r="J575" s="10">
        <v>3478.67</v>
      </c>
      <c r="K575" s="10">
        <v>2720.14</v>
      </c>
      <c r="L575" s="10">
        <v>130564434.90000001</v>
      </c>
      <c r="M575" s="10">
        <v>130573882.40000001</v>
      </c>
      <c r="N575" s="10">
        <v>16106.92</v>
      </c>
      <c r="O575" s="10">
        <v>130580887.8</v>
      </c>
      <c r="P575" s="10">
        <v>130572239</v>
      </c>
      <c r="Q575" s="10">
        <v>8648.7900000000009</v>
      </c>
      <c r="R575" s="10">
        <v>6620433.4699999997</v>
      </c>
      <c r="S575" s="10">
        <v>9806598.6899999995</v>
      </c>
      <c r="T575" s="10">
        <v>79974.460000000006</v>
      </c>
      <c r="U575" s="10">
        <v>17653.28</v>
      </c>
      <c r="V575" s="10">
        <v>8677.1299999999992</v>
      </c>
      <c r="W575" s="10">
        <v>7775.81</v>
      </c>
      <c r="X575" s="10">
        <v>4429.97</v>
      </c>
      <c r="Y575" s="9">
        <v>1362837</v>
      </c>
    </row>
    <row r="576" spans="1:25" ht="16.05" customHeight="1" x14ac:dyDescent="0.3">
      <c r="A576" s="2">
        <v>1749</v>
      </c>
      <c r="B576" s="2">
        <v>25</v>
      </c>
      <c r="C576" s="2">
        <v>2023</v>
      </c>
      <c r="D576" s="3" t="s">
        <v>29</v>
      </c>
      <c r="E576" s="4">
        <v>6198</v>
      </c>
      <c r="F576" s="5">
        <v>328110387.5</v>
      </c>
      <c r="G576" s="5">
        <v>85210267.629999995</v>
      </c>
      <c r="H576" s="6">
        <v>25.97</v>
      </c>
      <c r="I576" s="6">
        <v>8.86</v>
      </c>
      <c r="J576" s="5">
        <v>6832.83</v>
      </c>
      <c r="K576" s="5">
        <v>14166.56</v>
      </c>
      <c r="L576" s="5">
        <v>328082211.80000001</v>
      </c>
      <c r="M576" s="5">
        <v>328090912.80000001</v>
      </c>
      <c r="N576" s="5">
        <v>28175.72</v>
      </c>
      <c r="O576" s="5">
        <v>328087764.39999998</v>
      </c>
      <c r="P576" s="5">
        <v>328073134.39999998</v>
      </c>
      <c r="Q576" s="5">
        <v>14630.07</v>
      </c>
      <c r="R576" s="5">
        <v>29070580.329999998</v>
      </c>
      <c r="S576" s="5">
        <v>56139687.299999997</v>
      </c>
      <c r="T576" s="5">
        <v>67594.55</v>
      </c>
      <c r="U576" s="5">
        <v>26929.58</v>
      </c>
      <c r="V576" s="5">
        <v>4043.38</v>
      </c>
      <c r="W576" s="5">
        <v>1509.29</v>
      </c>
      <c r="X576" s="5">
        <v>1846.52</v>
      </c>
      <c r="Y576" s="4">
        <v>1621770</v>
      </c>
    </row>
    <row r="577" spans="1:25" ht="16.05" customHeight="1" x14ac:dyDescent="0.3">
      <c r="A577" s="7">
        <v>1819</v>
      </c>
      <c r="B577" s="7">
        <v>26</v>
      </c>
      <c r="C577" s="7">
        <v>2023</v>
      </c>
      <c r="D577" s="8" t="s">
        <v>29</v>
      </c>
      <c r="E577" s="9">
        <v>3590</v>
      </c>
      <c r="F577" s="10">
        <v>151504359.40000001</v>
      </c>
      <c r="G577" s="10">
        <v>43890812.909999996</v>
      </c>
      <c r="H577" s="11">
        <v>28.97</v>
      </c>
      <c r="I577" s="11">
        <v>5.82</v>
      </c>
      <c r="J577" s="10">
        <v>7964.54</v>
      </c>
      <c r="K577" s="10">
        <v>6214.44</v>
      </c>
      <c r="L577" s="10">
        <v>151411879.80000001</v>
      </c>
      <c r="M577" s="10">
        <v>151478420</v>
      </c>
      <c r="N577" s="10">
        <v>92479.55</v>
      </c>
      <c r="O577" s="10">
        <v>151420140.09999999</v>
      </c>
      <c r="P577" s="10">
        <v>151405488.5</v>
      </c>
      <c r="Q577" s="10">
        <v>14651.62</v>
      </c>
      <c r="R577" s="10">
        <v>8817553.7200000007</v>
      </c>
      <c r="S577" s="10">
        <v>35073259.200000003</v>
      </c>
      <c r="T577" s="10">
        <v>89833.43</v>
      </c>
      <c r="U577" s="10">
        <v>23196.11</v>
      </c>
      <c r="V577" s="10">
        <v>6619.3</v>
      </c>
      <c r="W577" s="10">
        <v>1640.99</v>
      </c>
      <c r="X577" s="10">
        <v>3947.77</v>
      </c>
      <c r="Y577" s="9">
        <v>3273273</v>
      </c>
    </row>
    <row r="578" spans="1:25" ht="16.05" customHeight="1" x14ac:dyDescent="0.3">
      <c r="A578" s="2">
        <v>1889</v>
      </c>
      <c r="B578" s="2">
        <v>27</v>
      </c>
      <c r="C578" s="2">
        <v>2023</v>
      </c>
      <c r="D578" s="3" t="s">
        <v>29</v>
      </c>
      <c r="E578" s="4">
        <v>2075</v>
      </c>
      <c r="F578" s="5">
        <v>84548653.890000001</v>
      </c>
      <c r="G578" s="5">
        <v>19133360.379999999</v>
      </c>
      <c r="H578" s="6">
        <v>22.63</v>
      </c>
      <c r="I578" s="6">
        <v>5.49</v>
      </c>
      <c r="J578" s="5">
        <v>10017.1</v>
      </c>
      <c r="K578" s="5">
        <v>6300.29</v>
      </c>
      <c r="L578" s="5">
        <v>84521822.609999999</v>
      </c>
      <c r="M578" s="5">
        <v>84538778.569999993</v>
      </c>
      <c r="N578" s="5">
        <v>26831.279999999999</v>
      </c>
      <c r="O578" s="5">
        <v>84531406.670000002</v>
      </c>
      <c r="P578" s="5">
        <v>84517960.790000007</v>
      </c>
      <c r="Q578" s="5">
        <v>13445.88</v>
      </c>
      <c r="R578" s="5">
        <v>4641721.0999999996</v>
      </c>
      <c r="S578" s="5">
        <v>14491639.279999999</v>
      </c>
      <c r="T578" s="5">
        <v>64258.81</v>
      </c>
      <c r="U578" s="5">
        <v>47131.98</v>
      </c>
      <c r="V578" s="5">
        <v>4701.24</v>
      </c>
      <c r="W578" s="5">
        <v>4882.82</v>
      </c>
      <c r="X578" s="5">
        <v>1286.49</v>
      </c>
      <c r="Y578" s="4">
        <v>1747213</v>
      </c>
    </row>
    <row r="579" spans="1:25" ht="16.05" customHeight="1" x14ac:dyDescent="0.3">
      <c r="A579" s="7">
        <v>1959</v>
      </c>
      <c r="B579" s="7">
        <v>28</v>
      </c>
      <c r="C579" s="7">
        <v>2023</v>
      </c>
      <c r="D579" s="8" t="s">
        <v>29</v>
      </c>
      <c r="E579" s="9">
        <v>360</v>
      </c>
      <c r="F579" s="10">
        <v>10932136.68</v>
      </c>
      <c r="G579" s="10">
        <v>3099260.75</v>
      </c>
      <c r="H579" s="11">
        <v>28.35</v>
      </c>
      <c r="I579" s="11">
        <v>19.170000000000002</v>
      </c>
      <c r="J579" s="10">
        <v>11583</v>
      </c>
      <c r="K579" s="10">
        <v>2125.35</v>
      </c>
      <c r="L579" s="10">
        <v>10837512.85</v>
      </c>
      <c r="M579" s="10">
        <v>10911959.6</v>
      </c>
      <c r="N579" s="10">
        <v>94623.83</v>
      </c>
      <c r="O579" s="10">
        <v>10845346.68</v>
      </c>
      <c r="P579" s="10">
        <v>10843171.52</v>
      </c>
      <c r="Q579" s="10">
        <v>2175.16</v>
      </c>
      <c r="R579" s="10">
        <v>2095690.6</v>
      </c>
      <c r="S579" s="10">
        <v>1003570.15</v>
      </c>
      <c r="T579" s="10">
        <v>34539.07</v>
      </c>
      <c r="U579" s="10">
        <v>38374.74</v>
      </c>
      <c r="V579" s="10">
        <v>5392.11</v>
      </c>
      <c r="W579" s="10">
        <v>2441.7199999999998</v>
      </c>
      <c r="X579" s="10">
        <v>3200.12</v>
      </c>
      <c r="Y579" s="9">
        <v>2568152</v>
      </c>
    </row>
    <row r="580" spans="1:25" ht="16.05" customHeight="1" x14ac:dyDescent="0.3">
      <c r="A580" s="2">
        <v>2029</v>
      </c>
      <c r="B580" s="2">
        <v>29</v>
      </c>
      <c r="C580" s="2">
        <v>2023</v>
      </c>
      <c r="D580" s="3" t="s">
        <v>29</v>
      </c>
      <c r="E580" s="4">
        <v>5382</v>
      </c>
      <c r="F580" s="5">
        <v>339760401.89999998</v>
      </c>
      <c r="G580" s="5">
        <v>50080683.240000002</v>
      </c>
      <c r="H580" s="6">
        <v>14.74</v>
      </c>
      <c r="I580" s="6">
        <v>11.68</v>
      </c>
      <c r="J580" s="5">
        <v>8895.73</v>
      </c>
      <c r="K580" s="5">
        <v>7462.47</v>
      </c>
      <c r="L580" s="5">
        <v>339664070.89999998</v>
      </c>
      <c r="M580" s="5">
        <v>339746926.89999998</v>
      </c>
      <c r="N580" s="5">
        <v>96331.04</v>
      </c>
      <c r="O580" s="5">
        <v>339677615.10000002</v>
      </c>
      <c r="P580" s="5">
        <v>339673471.5</v>
      </c>
      <c r="Q580" s="5">
        <v>4143.63</v>
      </c>
      <c r="R580" s="5">
        <v>39684014.939999998</v>
      </c>
      <c r="S580" s="5">
        <v>10396668.300000001</v>
      </c>
      <c r="T580" s="5">
        <v>86398.54</v>
      </c>
      <c r="U580" s="5">
        <v>31422.82</v>
      </c>
      <c r="V580" s="5">
        <v>10030.870000000001</v>
      </c>
      <c r="W580" s="5">
        <v>3513.34</v>
      </c>
      <c r="X580" s="5">
        <v>1454.64</v>
      </c>
      <c r="Y580" s="4">
        <v>1557917</v>
      </c>
    </row>
    <row r="581" spans="1:25" ht="16.05" customHeight="1" x14ac:dyDescent="0.3">
      <c r="A581" s="7">
        <v>2099</v>
      </c>
      <c r="B581" s="7">
        <v>30</v>
      </c>
      <c r="C581" s="7">
        <v>2023</v>
      </c>
      <c r="D581" s="8" t="s">
        <v>29</v>
      </c>
      <c r="E581" s="9">
        <v>2735</v>
      </c>
      <c r="F581" s="10">
        <v>65886063.030000001</v>
      </c>
      <c r="G581" s="10">
        <v>6127403.8600000003</v>
      </c>
      <c r="H581" s="11">
        <v>9.3000000000000007</v>
      </c>
      <c r="I581" s="11">
        <v>15.49</v>
      </c>
      <c r="J581" s="10">
        <v>11376.63</v>
      </c>
      <c r="K581" s="10">
        <v>5921.15</v>
      </c>
      <c r="L581" s="10">
        <v>65825471.039999999</v>
      </c>
      <c r="M581" s="10">
        <v>65867318.700000003</v>
      </c>
      <c r="N581" s="10">
        <v>60591.99</v>
      </c>
      <c r="O581" s="10">
        <v>65829151.689999998</v>
      </c>
      <c r="P581" s="10">
        <v>65817847.829999998</v>
      </c>
      <c r="Q581" s="10">
        <v>11303.86</v>
      </c>
      <c r="R581" s="10">
        <v>10205751.16</v>
      </c>
      <c r="S581" s="10">
        <v>-4078347.3</v>
      </c>
      <c r="T581" s="10">
        <v>26898.67</v>
      </c>
      <c r="U581" s="10">
        <v>21805.88</v>
      </c>
      <c r="V581" s="10">
        <v>2425.06</v>
      </c>
      <c r="W581" s="10">
        <v>1255.5899999999999</v>
      </c>
      <c r="X581" s="10">
        <v>1534.63</v>
      </c>
      <c r="Y581" s="9">
        <v>4866836</v>
      </c>
    </row>
    <row r="582" spans="1:25" ht="16.05" customHeight="1" x14ac:dyDescent="0.3">
      <c r="A582" s="2">
        <v>2169</v>
      </c>
      <c r="B582" s="2">
        <v>31</v>
      </c>
      <c r="C582" s="2">
        <v>2023</v>
      </c>
      <c r="D582" s="3" t="s">
        <v>29</v>
      </c>
      <c r="E582" s="4">
        <v>2823</v>
      </c>
      <c r="F582" s="5">
        <v>197559419</v>
      </c>
      <c r="G582" s="5">
        <v>29357329.66</v>
      </c>
      <c r="H582" s="6">
        <v>14.86</v>
      </c>
      <c r="I582" s="6">
        <v>8.64</v>
      </c>
      <c r="J582" s="5">
        <v>3347.91</v>
      </c>
      <c r="K582" s="5">
        <v>9377.84</v>
      </c>
      <c r="L582" s="5">
        <v>197546594.30000001</v>
      </c>
      <c r="M582" s="5">
        <v>197534599.69999999</v>
      </c>
      <c r="N582" s="5">
        <v>12824.65</v>
      </c>
      <c r="O582" s="5">
        <v>197562843.19999999</v>
      </c>
      <c r="P582" s="5">
        <v>197555289.90000001</v>
      </c>
      <c r="Q582" s="5">
        <v>7553.27</v>
      </c>
      <c r="R582" s="5">
        <v>17069133.800000001</v>
      </c>
      <c r="S582" s="5">
        <v>12288195.859999999</v>
      </c>
      <c r="T582" s="5">
        <v>39484.85</v>
      </c>
      <c r="U582" s="5">
        <v>56974.35</v>
      </c>
      <c r="V582" s="5">
        <v>11145.46</v>
      </c>
      <c r="W582" s="5">
        <v>5103.41</v>
      </c>
      <c r="X582" s="5">
        <v>1423.72</v>
      </c>
      <c r="Y582" s="4">
        <v>4340094</v>
      </c>
    </row>
    <row r="583" spans="1:25" ht="16.05" customHeight="1" x14ac:dyDescent="0.3">
      <c r="A583" s="7">
        <v>2239</v>
      </c>
      <c r="B583" s="7">
        <v>32</v>
      </c>
      <c r="C583" s="7">
        <v>2023</v>
      </c>
      <c r="D583" s="8" t="s">
        <v>29</v>
      </c>
      <c r="E583" s="9">
        <v>3666</v>
      </c>
      <c r="F583" s="10">
        <v>194685710</v>
      </c>
      <c r="G583" s="10">
        <v>14601428.25</v>
      </c>
      <c r="H583" s="11">
        <v>7.5</v>
      </c>
      <c r="I583" s="11">
        <v>12.16</v>
      </c>
      <c r="J583" s="10">
        <v>4628.12</v>
      </c>
      <c r="K583" s="10">
        <v>14573.58</v>
      </c>
      <c r="L583" s="10">
        <v>194635505</v>
      </c>
      <c r="M583" s="10">
        <v>194668269.90000001</v>
      </c>
      <c r="N583" s="10">
        <v>50205</v>
      </c>
      <c r="O583" s="10">
        <v>194642761.09999999</v>
      </c>
      <c r="P583" s="10">
        <v>194634273.30000001</v>
      </c>
      <c r="Q583" s="10">
        <v>8487.86</v>
      </c>
      <c r="R583" s="10">
        <v>23673782.34</v>
      </c>
      <c r="S583" s="10">
        <v>-9072354.0899999999</v>
      </c>
      <c r="T583" s="10">
        <v>36488.400000000001</v>
      </c>
      <c r="U583" s="10">
        <v>47290.11</v>
      </c>
      <c r="V583" s="10">
        <v>4200.21</v>
      </c>
      <c r="W583" s="10">
        <v>3055.89</v>
      </c>
      <c r="X583" s="10">
        <v>4544.5600000000004</v>
      </c>
      <c r="Y583" s="9">
        <v>1505679</v>
      </c>
    </row>
    <row r="584" spans="1:25" ht="16.05" customHeight="1" x14ac:dyDescent="0.3">
      <c r="A584" s="2">
        <v>2309</v>
      </c>
      <c r="B584" s="2">
        <v>33</v>
      </c>
      <c r="C584" s="2">
        <v>2023</v>
      </c>
      <c r="D584" s="3" t="s">
        <v>29</v>
      </c>
      <c r="E584" s="4">
        <v>1667</v>
      </c>
      <c r="F584" s="5">
        <v>52117774.270000003</v>
      </c>
      <c r="G584" s="5">
        <v>12940843.35</v>
      </c>
      <c r="H584" s="6">
        <v>24.83</v>
      </c>
      <c r="I584" s="6">
        <v>13.46</v>
      </c>
      <c r="J584" s="5">
        <v>8737.7999999999993</v>
      </c>
      <c r="K584" s="5">
        <v>4070.37</v>
      </c>
      <c r="L584" s="5">
        <v>52040343.200000003</v>
      </c>
      <c r="M584" s="5">
        <v>52111780.07</v>
      </c>
      <c r="N584" s="5">
        <v>77431.070000000007</v>
      </c>
      <c r="O584" s="5">
        <v>52049314.57</v>
      </c>
      <c r="P584" s="5">
        <v>52045063.990000002</v>
      </c>
      <c r="Q584" s="5">
        <v>4250.58</v>
      </c>
      <c r="R584" s="5">
        <v>7015052.4199999999</v>
      </c>
      <c r="S584" s="5">
        <v>5925790.9400000004</v>
      </c>
      <c r="T584" s="5">
        <v>43547.71</v>
      </c>
      <c r="U584" s="5">
        <v>22234</v>
      </c>
      <c r="V584" s="5">
        <v>2851.53</v>
      </c>
      <c r="W584" s="5">
        <v>6119.84</v>
      </c>
      <c r="X584" s="5">
        <v>4702.47</v>
      </c>
      <c r="Y584" s="4">
        <v>2032204</v>
      </c>
    </row>
    <row r="585" spans="1:25" ht="16.05" customHeight="1" x14ac:dyDescent="0.3">
      <c r="A585" s="7">
        <v>2379</v>
      </c>
      <c r="B585" s="7">
        <v>34</v>
      </c>
      <c r="C585" s="7">
        <v>2023</v>
      </c>
      <c r="D585" s="8" t="s">
        <v>29</v>
      </c>
      <c r="E585" s="9">
        <v>2733</v>
      </c>
      <c r="F585" s="10">
        <v>149191230.30000001</v>
      </c>
      <c r="G585" s="10">
        <v>14695336.18</v>
      </c>
      <c r="H585" s="11">
        <v>9.85</v>
      </c>
      <c r="I585" s="11">
        <v>15.71</v>
      </c>
      <c r="J585" s="10">
        <v>5819.09</v>
      </c>
      <c r="K585" s="10">
        <v>10916.07</v>
      </c>
      <c r="L585" s="10">
        <v>149163877.40000001</v>
      </c>
      <c r="M585" s="10">
        <v>149172040.59999999</v>
      </c>
      <c r="N585" s="10">
        <v>27352.880000000001</v>
      </c>
      <c r="O585" s="10">
        <v>149173311.80000001</v>
      </c>
      <c r="P585" s="10">
        <v>149169337.09999999</v>
      </c>
      <c r="Q585" s="10">
        <v>3974.72</v>
      </c>
      <c r="R585" s="10">
        <v>23437942.280000001</v>
      </c>
      <c r="S585" s="10">
        <v>-8742606.0899999999</v>
      </c>
      <c r="T585" s="10">
        <v>113639.34</v>
      </c>
      <c r="U585" s="10">
        <v>37839.06</v>
      </c>
      <c r="V585" s="10">
        <v>8435.5300000000007</v>
      </c>
      <c r="W585" s="10">
        <v>998.88</v>
      </c>
      <c r="X585" s="10">
        <v>1252.26</v>
      </c>
      <c r="Y585" s="9">
        <v>4431845</v>
      </c>
    </row>
    <row r="586" spans="1:25" ht="16.05" customHeight="1" x14ac:dyDescent="0.3">
      <c r="A586" s="2">
        <v>2449</v>
      </c>
      <c r="B586" s="2">
        <v>35</v>
      </c>
      <c r="C586" s="2">
        <v>2023</v>
      </c>
      <c r="D586" s="3" t="s">
        <v>29</v>
      </c>
      <c r="E586" s="4">
        <v>5547</v>
      </c>
      <c r="F586" s="5">
        <v>372975310.5</v>
      </c>
      <c r="G586" s="5">
        <v>97495746.170000002</v>
      </c>
      <c r="H586" s="6">
        <v>26.14</v>
      </c>
      <c r="I586" s="6">
        <v>13.97</v>
      </c>
      <c r="J586" s="5">
        <v>14906.85</v>
      </c>
      <c r="K586" s="5">
        <v>6539.42</v>
      </c>
      <c r="L586" s="5">
        <v>372881418.69999999</v>
      </c>
      <c r="M586" s="5">
        <v>372969715.30000001</v>
      </c>
      <c r="N586" s="5">
        <v>93891.83</v>
      </c>
      <c r="O586" s="5">
        <v>372890936.60000002</v>
      </c>
      <c r="P586" s="5">
        <v>372886179.89999998</v>
      </c>
      <c r="Q586" s="5">
        <v>4756.6899999999996</v>
      </c>
      <c r="R586" s="5">
        <v>52104650.880000003</v>
      </c>
      <c r="S586" s="5">
        <v>45391095.289999999</v>
      </c>
      <c r="T586" s="5">
        <v>36009.14</v>
      </c>
      <c r="U586" s="5">
        <v>54899.9</v>
      </c>
      <c r="V586" s="5">
        <v>5798.49</v>
      </c>
      <c r="W586" s="5">
        <v>3719.43</v>
      </c>
      <c r="X586" s="5">
        <v>2862.48</v>
      </c>
      <c r="Y586" s="4">
        <v>1779936</v>
      </c>
    </row>
    <row r="587" spans="1:25" ht="16.05" customHeight="1" x14ac:dyDescent="0.3">
      <c r="A587" s="7">
        <v>2519</v>
      </c>
      <c r="B587" s="7">
        <v>36</v>
      </c>
      <c r="C587" s="7">
        <v>2023</v>
      </c>
      <c r="D587" s="8" t="s">
        <v>29</v>
      </c>
      <c r="E587" s="9">
        <v>373</v>
      </c>
      <c r="F587" s="10">
        <v>10173752.77</v>
      </c>
      <c r="G587" s="10">
        <v>2850685.53</v>
      </c>
      <c r="H587" s="11">
        <v>28.02</v>
      </c>
      <c r="I587" s="11">
        <v>7.98</v>
      </c>
      <c r="J587" s="10">
        <v>14039.39</v>
      </c>
      <c r="K587" s="10">
        <v>7223.13</v>
      </c>
      <c r="L587" s="10">
        <v>10154046.02</v>
      </c>
      <c r="M587" s="10">
        <v>10166231.84</v>
      </c>
      <c r="N587" s="10">
        <v>19706.75</v>
      </c>
      <c r="O587" s="10">
        <v>10156340.24</v>
      </c>
      <c r="P587" s="10">
        <v>10145827.789999999</v>
      </c>
      <c r="Q587" s="10">
        <v>10512.45</v>
      </c>
      <c r="R587" s="10">
        <v>811865.47</v>
      </c>
      <c r="S587" s="10">
        <v>2038820.06</v>
      </c>
      <c r="T587" s="10">
        <v>94316.38</v>
      </c>
      <c r="U587" s="10">
        <v>27011</v>
      </c>
      <c r="V587" s="10">
        <v>1250.3800000000001</v>
      </c>
      <c r="W587" s="10">
        <v>1043.8399999999999</v>
      </c>
      <c r="X587" s="10">
        <v>1942.54</v>
      </c>
      <c r="Y587" s="9">
        <v>1783375</v>
      </c>
    </row>
    <row r="588" spans="1:25" ht="16.05" customHeight="1" x14ac:dyDescent="0.3">
      <c r="A588" s="2">
        <v>2589</v>
      </c>
      <c r="B588" s="2">
        <v>37</v>
      </c>
      <c r="C588" s="2">
        <v>2023</v>
      </c>
      <c r="D588" s="3" t="s">
        <v>29</v>
      </c>
      <c r="E588" s="4">
        <v>6585</v>
      </c>
      <c r="F588" s="5">
        <v>177652741.19999999</v>
      </c>
      <c r="G588" s="5">
        <v>37733442.240000002</v>
      </c>
      <c r="H588" s="6">
        <v>21.24</v>
      </c>
      <c r="I588" s="6">
        <v>8.7200000000000006</v>
      </c>
      <c r="J588" s="5">
        <v>2645.44</v>
      </c>
      <c r="K588" s="5">
        <v>16515.91</v>
      </c>
      <c r="L588" s="5">
        <v>177607507.59999999</v>
      </c>
      <c r="M588" s="5">
        <v>177628112.69999999</v>
      </c>
      <c r="N588" s="5">
        <v>45233.62</v>
      </c>
      <c r="O588" s="5">
        <v>177615692</v>
      </c>
      <c r="P588" s="5">
        <v>177603445.19999999</v>
      </c>
      <c r="Q588" s="5">
        <v>12246.84</v>
      </c>
      <c r="R588" s="5">
        <v>15491319.039999999</v>
      </c>
      <c r="S588" s="5">
        <v>22242123.199999999</v>
      </c>
      <c r="T588" s="5">
        <v>29497.61</v>
      </c>
      <c r="U588" s="5">
        <v>44690.47</v>
      </c>
      <c r="V588" s="5">
        <v>4830.41</v>
      </c>
      <c r="W588" s="5">
        <v>3353.98</v>
      </c>
      <c r="X588" s="5">
        <v>1647.08</v>
      </c>
      <c r="Y588" s="4">
        <v>2154813</v>
      </c>
    </row>
    <row r="589" spans="1:25" ht="16.05" customHeight="1" x14ac:dyDescent="0.3">
      <c r="A589" s="7">
        <v>2659</v>
      </c>
      <c r="B589" s="7">
        <v>38</v>
      </c>
      <c r="C589" s="7">
        <v>2023</v>
      </c>
      <c r="D589" s="8" t="s">
        <v>29</v>
      </c>
      <c r="E589" s="9">
        <v>904</v>
      </c>
      <c r="F589" s="10">
        <v>50649691.299999997</v>
      </c>
      <c r="G589" s="10">
        <v>5865234.25</v>
      </c>
      <c r="H589" s="11">
        <v>11.58</v>
      </c>
      <c r="I589" s="11">
        <v>9.06</v>
      </c>
      <c r="J589" s="10">
        <v>9952.7800000000007</v>
      </c>
      <c r="K589" s="10">
        <v>3385.86</v>
      </c>
      <c r="L589" s="10">
        <v>50603215.920000002</v>
      </c>
      <c r="M589" s="10">
        <v>50633145.359999999</v>
      </c>
      <c r="N589" s="10">
        <v>46475.38</v>
      </c>
      <c r="O589" s="10">
        <v>50610565.109999999</v>
      </c>
      <c r="P589" s="10">
        <v>50608796.390000001</v>
      </c>
      <c r="Q589" s="10">
        <v>1768.72</v>
      </c>
      <c r="R589" s="10">
        <v>4588862.03</v>
      </c>
      <c r="S589" s="10">
        <v>1276372.22</v>
      </c>
      <c r="T589" s="10">
        <v>20877.07</v>
      </c>
      <c r="U589" s="10">
        <v>51531.27</v>
      </c>
      <c r="V589" s="10">
        <v>6118.1</v>
      </c>
      <c r="W589" s="10">
        <v>1231.0899999999999</v>
      </c>
      <c r="X589" s="10">
        <v>1432.41</v>
      </c>
      <c r="Y589" s="9">
        <v>1371972</v>
      </c>
    </row>
    <row r="590" spans="1:25" ht="16.05" customHeight="1" x14ac:dyDescent="0.3">
      <c r="A590" s="2">
        <v>2729</v>
      </c>
      <c r="B590" s="2">
        <v>39</v>
      </c>
      <c r="C590" s="2">
        <v>2023</v>
      </c>
      <c r="D590" s="3" t="s">
        <v>29</v>
      </c>
      <c r="E590" s="4">
        <v>2421</v>
      </c>
      <c r="F590" s="5">
        <v>93344123.590000004</v>
      </c>
      <c r="G590" s="5">
        <v>5087254.74</v>
      </c>
      <c r="H590" s="6">
        <v>5.45</v>
      </c>
      <c r="I590" s="6">
        <v>14.25</v>
      </c>
      <c r="J590" s="5">
        <v>7758.99</v>
      </c>
      <c r="K590" s="5">
        <v>17470.89</v>
      </c>
      <c r="L590" s="5">
        <v>93330330.450000003</v>
      </c>
      <c r="M590" s="5">
        <v>93334539.140000001</v>
      </c>
      <c r="N590" s="5">
        <v>13793.14</v>
      </c>
      <c r="O590" s="5">
        <v>93338606.680000007</v>
      </c>
      <c r="P590" s="5">
        <v>93324914.150000006</v>
      </c>
      <c r="Q590" s="5">
        <v>13692.53</v>
      </c>
      <c r="R590" s="5">
        <v>13301537.609999999</v>
      </c>
      <c r="S590" s="5">
        <v>-8214282.8799999999</v>
      </c>
      <c r="T590" s="5">
        <v>47508.57</v>
      </c>
      <c r="U590" s="5">
        <v>40945.24</v>
      </c>
      <c r="V590" s="5">
        <v>5713.02</v>
      </c>
      <c r="W590" s="5">
        <v>2563.21</v>
      </c>
      <c r="X590" s="5">
        <v>2433.11</v>
      </c>
      <c r="Y590" s="4">
        <v>4756258</v>
      </c>
    </row>
    <row r="591" spans="1:25" ht="16.05" customHeight="1" x14ac:dyDescent="0.3">
      <c r="A591" s="7">
        <v>2799</v>
      </c>
      <c r="B591" s="7">
        <v>40</v>
      </c>
      <c r="C591" s="7">
        <v>2023</v>
      </c>
      <c r="D591" s="8" t="s">
        <v>29</v>
      </c>
      <c r="E591" s="9">
        <v>4364</v>
      </c>
      <c r="F591" s="10">
        <v>163535701.40000001</v>
      </c>
      <c r="G591" s="10">
        <v>8929049.3000000007</v>
      </c>
      <c r="H591" s="11">
        <v>5.46</v>
      </c>
      <c r="I591" s="11">
        <v>10.73</v>
      </c>
      <c r="J591" s="10">
        <v>2486.5300000000002</v>
      </c>
      <c r="K591" s="10">
        <v>2703.6</v>
      </c>
      <c r="L591" s="10">
        <v>163514301.19999999</v>
      </c>
      <c r="M591" s="10">
        <v>163527065.90000001</v>
      </c>
      <c r="N591" s="10">
        <v>21400.13</v>
      </c>
      <c r="O591" s="10">
        <v>163528536.5</v>
      </c>
      <c r="P591" s="10">
        <v>163516918.09999999</v>
      </c>
      <c r="Q591" s="10">
        <v>11618.47</v>
      </c>
      <c r="R591" s="10">
        <v>17547380.760000002</v>
      </c>
      <c r="S591" s="10">
        <v>-8618331.4600000009</v>
      </c>
      <c r="T591" s="10">
        <v>24179.360000000001</v>
      </c>
      <c r="U591" s="10">
        <v>18767.63</v>
      </c>
      <c r="V591" s="10">
        <v>8412.75</v>
      </c>
      <c r="W591" s="10">
        <v>5822.55</v>
      </c>
      <c r="X591" s="10">
        <v>1687.32</v>
      </c>
      <c r="Y591" s="9">
        <v>1389550</v>
      </c>
    </row>
    <row r="592" spans="1:25" ht="16.05" customHeight="1" x14ac:dyDescent="0.3">
      <c r="A592" s="2">
        <v>2869</v>
      </c>
      <c r="B592" s="2">
        <v>41</v>
      </c>
      <c r="C592" s="2">
        <v>2023</v>
      </c>
      <c r="D592" s="3" t="s">
        <v>29</v>
      </c>
      <c r="E592" s="4">
        <v>5333</v>
      </c>
      <c r="F592" s="5">
        <v>120296551.2</v>
      </c>
      <c r="G592" s="5">
        <v>24480348.16</v>
      </c>
      <c r="H592" s="6">
        <v>20.350000000000001</v>
      </c>
      <c r="I592" s="6">
        <v>10.78</v>
      </c>
      <c r="J592" s="5">
        <v>12363.14</v>
      </c>
      <c r="K592" s="5">
        <v>18659.78</v>
      </c>
      <c r="L592" s="5">
        <v>120236195.59999999</v>
      </c>
      <c r="M592" s="5">
        <v>120289515.2</v>
      </c>
      <c r="N592" s="5">
        <v>60355.57</v>
      </c>
      <c r="O592" s="5">
        <v>120243664.3</v>
      </c>
      <c r="P592" s="5">
        <v>120232657.5</v>
      </c>
      <c r="Q592" s="5">
        <v>11006.75</v>
      </c>
      <c r="R592" s="5">
        <v>12967968.220000001</v>
      </c>
      <c r="S592" s="5">
        <v>11512379.949999999</v>
      </c>
      <c r="T592" s="5">
        <v>35518.85</v>
      </c>
      <c r="U592" s="5">
        <v>8519.24</v>
      </c>
      <c r="V592" s="5">
        <v>6461.65</v>
      </c>
      <c r="W592" s="5">
        <v>1007.02</v>
      </c>
      <c r="X592" s="5">
        <v>3796.07</v>
      </c>
      <c r="Y592" s="4">
        <v>3524311</v>
      </c>
    </row>
    <row r="593" spans="1:25" ht="16.05" customHeight="1" x14ac:dyDescent="0.3">
      <c r="A593" s="7">
        <v>2939</v>
      </c>
      <c r="B593" s="7">
        <v>42</v>
      </c>
      <c r="C593" s="7">
        <v>2023</v>
      </c>
      <c r="D593" s="8" t="s">
        <v>29</v>
      </c>
      <c r="E593" s="9">
        <v>6350</v>
      </c>
      <c r="F593" s="10">
        <v>168929068.5</v>
      </c>
      <c r="G593" s="10">
        <v>22129707.98</v>
      </c>
      <c r="H593" s="11">
        <v>13.1</v>
      </c>
      <c r="I593" s="11">
        <v>5.04</v>
      </c>
      <c r="J593" s="10">
        <v>13928.7</v>
      </c>
      <c r="K593" s="10">
        <v>5993.05</v>
      </c>
      <c r="L593" s="10">
        <v>168871075.30000001</v>
      </c>
      <c r="M593" s="10">
        <v>168906473.59999999</v>
      </c>
      <c r="N593" s="10">
        <v>57993.21</v>
      </c>
      <c r="O593" s="10">
        <v>168886492.5</v>
      </c>
      <c r="P593" s="10">
        <v>168881800.90000001</v>
      </c>
      <c r="Q593" s="10">
        <v>4691.57</v>
      </c>
      <c r="R593" s="10">
        <v>8514025.0600000005</v>
      </c>
      <c r="S593" s="10">
        <v>13615682.92</v>
      </c>
      <c r="T593" s="10">
        <v>99947.39</v>
      </c>
      <c r="U593" s="10">
        <v>15665.05</v>
      </c>
      <c r="V593" s="10">
        <v>9905.51</v>
      </c>
      <c r="W593" s="10">
        <v>5511.63</v>
      </c>
      <c r="X593" s="10">
        <v>4927.3</v>
      </c>
      <c r="Y593" s="9">
        <v>3000698</v>
      </c>
    </row>
    <row r="594" spans="1:25" ht="16.05" customHeight="1" x14ac:dyDescent="0.3">
      <c r="A594" s="2">
        <v>3009</v>
      </c>
      <c r="B594" s="2">
        <v>43</v>
      </c>
      <c r="C594" s="2">
        <v>2023</v>
      </c>
      <c r="D594" s="3" t="s">
        <v>29</v>
      </c>
      <c r="E594" s="4">
        <v>6841</v>
      </c>
      <c r="F594" s="5">
        <v>66102995.899999999</v>
      </c>
      <c r="G594" s="5">
        <v>6174019.8200000003</v>
      </c>
      <c r="H594" s="6">
        <v>9.34</v>
      </c>
      <c r="I594" s="6">
        <v>18.420000000000002</v>
      </c>
      <c r="J594" s="5">
        <v>3439.85</v>
      </c>
      <c r="K594" s="5">
        <v>8689.92</v>
      </c>
      <c r="L594" s="5">
        <v>66036511.909999996</v>
      </c>
      <c r="M594" s="5">
        <v>66091630.280000001</v>
      </c>
      <c r="N594" s="5">
        <v>66483.990000000005</v>
      </c>
      <c r="O594" s="5">
        <v>66045328.32</v>
      </c>
      <c r="P594" s="5">
        <v>66037205.359999999</v>
      </c>
      <c r="Q594" s="5">
        <v>8122.96</v>
      </c>
      <c r="R594" s="5">
        <v>12176171.85</v>
      </c>
      <c r="S594" s="5">
        <v>-6002152.0300000003</v>
      </c>
      <c r="T594" s="5">
        <v>31897.52</v>
      </c>
      <c r="U594" s="5">
        <v>49123.47</v>
      </c>
      <c r="V594" s="5">
        <v>3128.13</v>
      </c>
      <c r="W594" s="5">
        <v>5688.28</v>
      </c>
      <c r="X594" s="5">
        <v>4504.75</v>
      </c>
      <c r="Y594" s="4">
        <v>1579467</v>
      </c>
    </row>
    <row r="595" spans="1:25" ht="16.05" customHeight="1" x14ac:dyDescent="0.3">
      <c r="A595" s="7">
        <v>3079</v>
      </c>
      <c r="B595" s="7">
        <v>44</v>
      </c>
      <c r="C595" s="7">
        <v>2023</v>
      </c>
      <c r="D595" s="8" t="s">
        <v>29</v>
      </c>
      <c r="E595" s="9">
        <v>3331</v>
      </c>
      <c r="F595" s="10">
        <v>224959015.5</v>
      </c>
      <c r="G595" s="10">
        <v>21101155.66</v>
      </c>
      <c r="H595" s="11">
        <v>9.3800000000000008</v>
      </c>
      <c r="I595" s="11">
        <v>16.12</v>
      </c>
      <c r="J595" s="10">
        <v>5164.99</v>
      </c>
      <c r="K595" s="10">
        <v>3920.16</v>
      </c>
      <c r="L595" s="10">
        <v>224899353</v>
      </c>
      <c r="M595" s="10">
        <v>224936013.09999999</v>
      </c>
      <c r="N595" s="10">
        <v>59662.5</v>
      </c>
      <c r="O595" s="10">
        <v>224909151.30000001</v>
      </c>
      <c r="P595" s="10">
        <v>224901109.19999999</v>
      </c>
      <c r="Q595" s="10">
        <v>8042.19</v>
      </c>
      <c r="R595" s="10">
        <v>36263393.299999997</v>
      </c>
      <c r="S595" s="10">
        <v>-15162237.65</v>
      </c>
      <c r="T595" s="10">
        <v>103171.47</v>
      </c>
      <c r="U595" s="10">
        <v>22704.23</v>
      </c>
      <c r="V595" s="10">
        <v>6498.07</v>
      </c>
      <c r="W595" s="10">
        <v>3300.24</v>
      </c>
      <c r="X595" s="10">
        <v>4931.17</v>
      </c>
      <c r="Y595" s="9">
        <v>2195669</v>
      </c>
    </row>
    <row r="596" spans="1:25" ht="16.05" customHeight="1" x14ac:dyDescent="0.3">
      <c r="A596" s="2">
        <v>3149</v>
      </c>
      <c r="B596" s="2">
        <v>45</v>
      </c>
      <c r="C596" s="2">
        <v>2023</v>
      </c>
      <c r="D596" s="3" t="s">
        <v>29</v>
      </c>
      <c r="E596" s="4">
        <v>898</v>
      </c>
      <c r="F596" s="5">
        <v>7125564.7999999998</v>
      </c>
      <c r="G596" s="5">
        <v>1088786.3</v>
      </c>
      <c r="H596" s="6">
        <v>15.28</v>
      </c>
      <c r="I596" s="6">
        <v>9.2799999999999994</v>
      </c>
      <c r="J596" s="5">
        <v>1543.46</v>
      </c>
      <c r="K596" s="5">
        <v>2399.6799999999998</v>
      </c>
      <c r="L596" s="5">
        <v>7039543.1100000003</v>
      </c>
      <c r="M596" s="5">
        <v>7101109.9199999999</v>
      </c>
      <c r="N596" s="5">
        <v>86021.69</v>
      </c>
      <c r="O596" s="5">
        <v>7054723.5</v>
      </c>
      <c r="P596" s="5">
        <v>7041216.6100000003</v>
      </c>
      <c r="Q596" s="5">
        <v>13506.89</v>
      </c>
      <c r="R596" s="5">
        <v>661252.41</v>
      </c>
      <c r="S596" s="5">
        <v>427533.89</v>
      </c>
      <c r="T596" s="5">
        <v>83946.72</v>
      </c>
      <c r="U596" s="5">
        <v>31525.35</v>
      </c>
      <c r="V596" s="5">
        <v>8036.31</v>
      </c>
      <c r="W596" s="5">
        <v>7144.08</v>
      </c>
      <c r="X596" s="5">
        <v>4113.43</v>
      </c>
      <c r="Y596" s="4">
        <v>2901872</v>
      </c>
    </row>
    <row r="597" spans="1:25" ht="16.05" customHeight="1" x14ac:dyDescent="0.3">
      <c r="A597" s="7">
        <v>3219</v>
      </c>
      <c r="B597" s="7">
        <v>46</v>
      </c>
      <c r="C597" s="7">
        <v>2023</v>
      </c>
      <c r="D597" s="8" t="s">
        <v>29</v>
      </c>
      <c r="E597" s="9">
        <v>4833</v>
      </c>
      <c r="F597" s="10">
        <v>25784664.530000001</v>
      </c>
      <c r="G597" s="10">
        <v>5365788.6900000004</v>
      </c>
      <c r="H597" s="11">
        <v>20.81</v>
      </c>
      <c r="I597" s="11">
        <v>16.579999999999998</v>
      </c>
      <c r="J597" s="10">
        <v>13322.36</v>
      </c>
      <c r="K597" s="10">
        <v>11554.85</v>
      </c>
      <c r="L597" s="10">
        <v>25709688.18</v>
      </c>
      <c r="M597" s="10">
        <v>25762921.579999998</v>
      </c>
      <c r="N597" s="10">
        <v>74976.350000000006</v>
      </c>
      <c r="O597" s="10">
        <v>25718951.07</v>
      </c>
      <c r="P597" s="10">
        <v>25717428.52</v>
      </c>
      <c r="Q597" s="10">
        <v>1522.55</v>
      </c>
      <c r="R597" s="10">
        <v>4275097.38</v>
      </c>
      <c r="S597" s="10">
        <v>1090691.31</v>
      </c>
      <c r="T597" s="10">
        <v>88620.4</v>
      </c>
      <c r="U597" s="10">
        <v>7783.65</v>
      </c>
      <c r="V597" s="10">
        <v>3903</v>
      </c>
      <c r="W597" s="10">
        <v>5359.89</v>
      </c>
      <c r="X597" s="10">
        <v>1813.77</v>
      </c>
      <c r="Y597" s="9">
        <v>3553688</v>
      </c>
    </row>
    <row r="598" spans="1:25" ht="16.05" customHeight="1" x14ac:dyDescent="0.3">
      <c r="A598" s="2">
        <v>3289</v>
      </c>
      <c r="B598" s="2">
        <v>47</v>
      </c>
      <c r="C598" s="2">
        <v>2023</v>
      </c>
      <c r="D598" s="3" t="s">
        <v>29</v>
      </c>
      <c r="E598" s="4">
        <v>4112</v>
      </c>
      <c r="F598" s="5">
        <v>111371732.90000001</v>
      </c>
      <c r="G598" s="5">
        <v>24546329.940000001</v>
      </c>
      <c r="H598" s="6">
        <v>22.04</v>
      </c>
      <c r="I598" s="6">
        <v>19.68</v>
      </c>
      <c r="J598" s="5">
        <v>11679.41</v>
      </c>
      <c r="K598" s="5">
        <v>12759.65</v>
      </c>
      <c r="L598" s="5">
        <v>111342054.2</v>
      </c>
      <c r="M598" s="5">
        <v>111361924.59999999</v>
      </c>
      <c r="N598" s="5">
        <v>29678.76</v>
      </c>
      <c r="O598" s="5">
        <v>111351112.09999999</v>
      </c>
      <c r="P598" s="5">
        <v>111336860.3</v>
      </c>
      <c r="Q598" s="5">
        <v>14251.77</v>
      </c>
      <c r="R598" s="5">
        <v>21917957.039999999</v>
      </c>
      <c r="S598" s="5">
        <v>2628372.9</v>
      </c>
      <c r="T598" s="5">
        <v>112545.15</v>
      </c>
      <c r="U598" s="5">
        <v>42228.67</v>
      </c>
      <c r="V598" s="5">
        <v>7659.86</v>
      </c>
      <c r="W598" s="5">
        <v>1398.08</v>
      </c>
      <c r="X598" s="5">
        <v>4170.6099999999997</v>
      </c>
      <c r="Y598" s="4">
        <v>3395020</v>
      </c>
    </row>
    <row r="599" spans="1:25" ht="16.05" customHeight="1" x14ac:dyDescent="0.3">
      <c r="A599" s="7">
        <v>3359</v>
      </c>
      <c r="B599" s="7">
        <v>48</v>
      </c>
      <c r="C599" s="7">
        <v>2023</v>
      </c>
      <c r="D599" s="8" t="s">
        <v>29</v>
      </c>
      <c r="E599" s="9">
        <v>6650</v>
      </c>
      <c r="F599" s="10">
        <v>256737935.59999999</v>
      </c>
      <c r="G599" s="10">
        <v>41873957.289999999</v>
      </c>
      <c r="H599" s="11">
        <v>16.309999999999999</v>
      </c>
      <c r="I599" s="11">
        <v>8.08</v>
      </c>
      <c r="J599" s="10">
        <v>6938.95</v>
      </c>
      <c r="K599" s="10">
        <v>7680.77</v>
      </c>
      <c r="L599" s="10">
        <v>256657495.09999999</v>
      </c>
      <c r="M599" s="10">
        <v>256732536.80000001</v>
      </c>
      <c r="N599" s="10">
        <v>80440.47</v>
      </c>
      <c r="O599" s="10">
        <v>256668024.69999999</v>
      </c>
      <c r="P599" s="10">
        <v>256658201.09999999</v>
      </c>
      <c r="Q599" s="10">
        <v>9823.58</v>
      </c>
      <c r="R599" s="10">
        <v>20744425.190000001</v>
      </c>
      <c r="S599" s="10">
        <v>21129532.100000001</v>
      </c>
      <c r="T599" s="10">
        <v>63718.11</v>
      </c>
      <c r="U599" s="10">
        <v>20462</v>
      </c>
      <c r="V599" s="10">
        <v>9669.76</v>
      </c>
      <c r="W599" s="10">
        <v>859.85</v>
      </c>
      <c r="X599" s="10">
        <v>2062.81</v>
      </c>
      <c r="Y599" s="9">
        <v>1461204</v>
      </c>
    </row>
    <row r="600" spans="1:25" ht="16.05" customHeight="1" x14ac:dyDescent="0.3">
      <c r="A600" s="2">
        <v>3429</v>
      </c>
      <c r="B600" s="2">
        <v>49</v>
      </c>
      <c r="C600" s="2">
        <v>2023</v>
      </c>
      <c r="D600" s="3" t="s">
        <v>29</v>
      </c>
      <c r="E600" s="4">
        <v>3443</v>
      </c>
      <c r="F600" s="5">
        <v>237053706.19999999</v>
      </c>
      <c r="G600" s="5">
        <v>69883432.599999994</v>
      </c>
      <c r="H600" s="6">
        <v>29.48</v>
      </c>
      <c r="I600" s="6">
        <v>10.96</v>
      </c>
      <c r="J600" s="5">
        <v>9282.91</v>
      </c>
      <c r="K600" s="5">
        <v>9573.99</v>
      </c>
      <c r="L600" s="5">
        <v>237029936.40000001</v>
      </c>
      <c r="M600" s="5">
        <v>237048871.59999999</v>
      </c>
      <c r="N600" s="5">
        <v>23769.83</v>
      </c>
      <c r="O600" s="5">
        <v>237036187.59999999</v>
      </c>
      <c r="P600" s="5">
        <v>237025667.09999999</v>
      </c>
      <c r="Q600" s="5">
        <v>10520.53</v>
      </c>
      <c r="R600" s="5">
        <v>25981086.199999999</v>
      </c>
      <c r="S600" s="5">
        <v>43902346.390000001</v>
      </c>
      <c r="T600" s="5">
        <v>80493.179999999993</v>
      </c>
      <c r="U600" s="5">
        <v>8277.32</v>
      </c>
      <c r="V600" s="5">
        <v>2398.85</v>
      </c>
      <c r="W600" s="5">
        <v>3852.34</v>
      </c>
      <c r="X600" s="5">
        <v>3397.35</v>
      </c>
      <c r="Y600" s="4">
        <v>4014032</v>
      </c>
    </row>
    <row r="601" spans="1:25" ht="16.05" customHeight="1" x14ac:dyDescent="0.3">
      <c r="A601" s="7">
        <v>3499</v>
      </c>
      <c r="B601" s="7">
        <v>50</v>
      </c>
      <c r="C601" s="7">
        <v>2023</v>
      </c>
      <c r="D601" s="8" t="s">
        <v>29</v>
      </c>
      <c r="E601" s="9">
        <v>5395</v>
      </c>
      <c r="F601" s="10">
        <v>357526826.30000001</v>
      </c>
      <c r="G601" s="10">
        <v>53629023.939999998</v>
      </c>
      <c r="H601" s="11">
        <v>15</v>
      </c>
      <c r="I601" s="11">
        <v>11.5</v>
      </c>
      <c r="J601" s="10">
        <v>8604.23</v>
      </c>
      <c r="K601" s="10">
        <v>18727.47</v>
      </c>
      <c r="L601" s="10">
        <v>357511885.19999999</v>
      </c>
      <c r="M601" s="10">
        <v>357503047.89999998</v>
      </c>
      <c r="N601" s="10">
        <v>14941.08</v>
      </c>
      <c r="O601" s="10">
        <v>357521135</v>
      </c>
      <c r="P601" s="10">
        <v>357511576.80000001</v>
      </c>
      <c r="Q601" s="10">
        <v>9558.2199999999993</v>
      </c>
      <c r="R601" s="10">
        <v>41115585.020000003</v>
      </c>
      <c r="S601" s="10">
        <v>12513438.92</v>
      </c>
      <c r="T601" s="10">
        <v>41767.39</v>
      </c>
      <c r="U601" s="10">
        <v>11774.24</v>
      </c>
      <c r="V601" s="10">
        <v>2849.58</v>
      </c>
      <c r="W601" s="10">
        <v>6400.21</v>
      </c>
      <c r="X601" s="10">
        <v>3550.78</v>
      </c>
      <c r="Y601" s="9">
        <v>1478087</v>
      </c>
    </row>
    <row r="602" spans="1:25" ht="16.05" customHeight="1" x14ac:dyDescent="0.3">
      <c r="A602" s="2">
        <v>29</v>
      </c>
      <c r="B602" s="2">
        <v>1</v>
      </c>
      <c r="C602" s="2">
        <v>2023</v>
      </c>
      <c r="D602" s="3" t="s">
        <v>30</v>
      </c>
      <c r="E602" s="4">
        <v>5304</v>
      </c>
      <c r="F602" s="5">
        <v>48010994.060000002</v>
      </c>
      <c r="G602" s="5">
        <v>4834707.0999999996</v>
      </c>
      <c r="H602" s="6">
        <v>10.07</v>
      </c>
      <c r="I602" s="6">
        <v>8.31</v>
      </c>
      <c r="J602" s="5">
        <v>5659.26</v>
      </c>
      <c r="K602" s="5">
        <v>6991.74</v>
      </c>
      <c r="L602" s="5">
        <v>47961700.850000001</v>
      </c>
      <c r="M602" s="5">
        <v>48002356.170000002</v>
      </c>
      <c r="N602" s="5">
        <v>49293.21</v>
      </c>
      <c r="O602" s="5">
        <v>47980318.789999999</v>
      </c>
      <c r="P602" s="5">
        <v>47975090.259999998</v>
      </c>
      <c r="Q602" s="5">
        <v>5228.53</v>
      </c>
      <c r="R602" s="5">
        <v>3989713.61</v>
      </c>
      <c r="S602" s="5">
        <v>844993.5</v>
      </c>
      <c r="T602" s="5">
        <v>55295.86</v>
      </c>
      <c r="U602" s="5">
        <v>10516.01</v>
      </c>
      <c r="V602" s="5">
        <v>10732.69</v>
      </c>
      <c r="W602" s="5">
        <v>7885.25</v>
      </c>
      <c r="X602" s="5">
        <v>1329.96</v>
      </c>
      <c r="Y602" s="4">
        <v>4058657</v>
      </c>
    </row>
    <row r="603" spans="1:25" ht="16.05" customHeight="1" x14ac:dyDescent="0.3">
      <c r="A603" s="7">
        <v>99</v>
      </c>
      <c r="B603" s="7">
        <v>2</v>
      </c>
      <c r="C603" s="7">
        <v>2023</v>
      </c>
      <c r="D603" s="8" t="s">
        <v>30</v>
      </c>
      <c r="E603" s="9">
        <v>4461</v>
      </c>
      <c r="F603" s="10">
        <v>99885993.290000007</v>
      </c>
      <c r="G603" s="10">
        <v>24062535.780000001</v>
      </c>
      <c r="H603" s="11">
        <v>24.09</v>
      </c>
      <c r="I603" s="11">
        <v>16.59</v>
      </c>
      <c r="J603" s="10">
        <v>1905.22</v>
      </c>
      <c r="K603" s="10">
        <v>5616.63</v>
      </c>
      <c r="L603" s="10">
        <v>99848065.760000005</v>
      </c>
      <c r="M603" s="10">
        <v>99873218.489999995</v>
      </c>
      <c r="N603" s="10">
        <v>37927.53</v>
      </c>
      <c r="O603" s="10">
        <v>99856958.450000003</v>
      </c>
      <c r="P603" s="10">
        <v>99853038.989999995</v>
      </c>
      <c r="Q603" s="10">
        <v>3919.46</v>
      </c>
      <c r="R603" s="10">
        <v>16571086.289999999</v>
      </c>
      <c r="S603" s="10">
        <v>7491449.5</v>
      </c>
      <c r="T603" s="10">
        <v>58828.67</v>
      </c>
      <c r="U603" s="10">
        <v>11158.83</v>
      </c>
      <c r="V603" s="10">
        <v>7171.69</v>
      </c>
      <c r="W603" s="10">
        <v>1721</v>
      </c>
      <c r="X603" s="10">
        <v>3531.43</v>
      </c>
      <c r="Y603" s="9">
        <v>3208575</v>
      </c>
    </row>
    <row r="604" spans="1:25" ht="16.05" customHeight="1" x14ac:dyDescent="0.3">
      <c r="A604" s="2">
        <v>169</v>
      </c>
      <c r="B604" s="2">
        <v>3</v>
      </c>
      <c r="C604" s="2">
        <v>2023</v>
      </c>
      <c r="D604" s="3" t="s">
        <v>30</v>
      </c>
      <c r="E604" s="4">
        <v>6650</v>
      </c>
      <c r="F604" s="5">
        <v>312432893.39999998</v>
      </c>
      <c r="G604" s="5">
        <v>36335945.5</v>
      </c>
      <c r="H604" s="6">
        <v>11.63</v>
      </c>
      <c r="I604" s="6">
        <v>10.220000000000001</v>
      </c>
      <c r="J604" s="5">
        <v>5339.48</v>
      </c>
      <c r="K604" s="5">
        <v>19909.04</v>
      </c>
      <c r="L604" s="5">
        <v>312372239.39999998</v>
      </c>
      <c r="M604" s="5">
        <v>312418869.80000001</v>
      </c>
      <c r="N604" s="5">
        <v>60654.04</v>
      </c>
      <c r="O604" s="5">
        <v>312382882.19999999</v>
      </c>
      <c r="P604" s="5">
        <v>312377054.89999998</v>
      </c>
      <c r="Q604" s="5">
        <v>5827.38</v>
      </c>
      <c r="R604" s="5">
        <v>31930641.710000001</v>
      </c>
      <c r="S604" s="5">
        <v>4405303.8</v>
      </c>
      <c r="T604" s="5">
        <v>11635.59</v>
      </c>
      <c r="U604" s="5">
        <v>7870.03</v>
      </c>
      <c r="V604" s="5">
        <v>4723.5</v>
      </c>
      <c r="W604" s="5">
        <v>5919.38</v>
      </c>
      <c r="X604" s="5">
        <v>3800.87</v>
      </c>
      <c r="Y604" s="4">
        <v>2627179</v>
      </c>
    </row>
    <row r="605" spans="1:25" ht="16.05" customHeight="1" x14ac:dyDescent="0.3">
      <c r="A605" s="7">
        <v>239</v>
      </c>
      <c r="B605" s="7">
        <v>4</v>
      </c>
      <c r="C605" s="7">
        <v>2023</v>
      </c>
      <c r="D605" s="8" t="s">
        <v>30</v>
      </c>
      <c r="E605" s="9">
        <v>5675</v>
      </c>
      <c r="F605" s="10">
        <v>215156520.30000001</v>
      </c>
      <c r="G605" s="10">
        <v>49163264.890000001</v>
      </c>
      <c r="H605" s="11">
        <v>22.85</v>
      </c>
      <c r="I605" s="11">
        <v>13.04</v>
      </c>
      <c r="J605" s="10">
        <v>1175.55</v>
      </c>
      <c r="K605" s="10">
        <v>15362.17</v>
      </c>
      <c r="L605" s="10">
        <v>215090331.69999999</v>
      </c>
      <c r="M605" s="10">
        <v>215137243.30000001</v>
      </c>
      <c r="N605" s="10">
        <v>66188.56</v>
      </c>
      <c r="O605" s="10">
        <v>215101820.59999999</v>
      </c>
      <c r="P605" s="10">
        <v>215094520.80000001</v>
      </c>
      <c r="Q605" s="10">
        <v>7299.78</v>
      </c>
      <c r="R605" s="10">
        <v>28056410.25</v>
      </c>
      <c r="S605" s="10">
        <v>21106854.640000001</v>
      </c>
      <c r="T605" s="10">
        <v>76829.03</v>
      </c>
      <c r="U605" s="10">
        <v>52366.58</v>
      </c>
      <c r="V605" s="10">
        <v>4686.28</v>
      </c>
      <c r="W605" s="10">
        <v>6802.56</v>
      </c>
      <c r="X605" s="10">
        <v>1963.88</v>
      </c>
      <c r="Y605" s="9">
        <v>1927637</v>
      </c>
    </row>
    <row r="606" spans="1:25" ht="16.05" customHeight="1" x14ac:dyDescent="0.3">
      <c r="A606" s="2">
        <v>309</v>
      </c>
      <c r="B606" s="2">
        <v>5</v>
      </c>
      <c r="C606" s="2">
        <v>2023</v>
      </c>
      <c r="D606" s="3" t="s">
        <v>30</v>
      </c>
      <c r="E606" s="4">
        <v>964</v>
      </c>
      <c r="F606" s="5">
        <v>49716832.5</v>
      </c>
      <c r="G606" s="5">
        <v>6050538.5199999996</v>
      </c>
      <c r="H606" s="6">
        <v>12.17</v>
      </c>
      <c r="I606" s="6">
        <v>19.79</v>
      </c>
      <c r="J606" s="5">
        <v>9158.5</v>
      </c>
      <c r="K606" s="5">
        <v>6915.63</v>
      </c>
      <c r="L606" s="5">
        <v>49637537.969999999</v>
      </c>
      <c r="M606" s="5">
        <v>49698737.490000002</v>
      </c>
      <c r="N606" s="5">
        <v>79294.53</v>
      </c>
      <c r="O606" s="5">
        <v>49654794.810000002</v>
      </c>
      <c r="P606" s="5">
        <v>49650024.369999997</v>
      </c>
      <c r="Q606" s="5">
        <v>4770.4399999999996</v>
      </c>
      <c r="R606" s="5">
        <v>9838961.1500000004</v>
      </c>
      <c r="S606" s="5">
        <v>-3788422.64</v>
      </c>
      <c r="T606" s="5">
        <v>40473.54</v>
      </c>
      <c r="U606" s="5">
        <v>6173.46</v>
      </c>
      <c r="V606" s="5">
        <v>10362.86</v>
      </c>
      <c r="W606" s="5">
        <v>6893.98</v>
      </c>
      <c r="X606" s="5">
        <v>3986.58</v>
      </c>
      <c r="Y606" s="4">
        <v>4898974</v>
      </c>
    </row>
    <row r="607" spans="1:25" ht="16.05" customHeight="1" x14ac:dyDescent="0.3">
      <c r="A607" s="7">
        <v>379</v>
      </c>
      <c r="B607" s="7">
        <v>6</v>
      </c>
      <c r="C607" s="7">
        <v>2023</v>
      </c>
      <c r="D607" s="8" t="s">
        <v>30</v>
      </c>
      <c r="E607" s="9">
        <v>3329</v>
      </c>
      <c r="F607" s="10">
        <v>103483985.7</v>
      </c>
      <c r="G607" s="10">
        <v>20127635.219999999</v>
      </c>
      <c r="H607" s="11">
        <v>19.45</v>
      </c>
      <c r="I607" s="11">
        <v>12.25</v>
      </c>
      <c r="J607" s="10">
        <v>3308.61</v>
      </c>
      <c r="K607" s="10">
        <v>10777.05</v>
      </c>
      <c r="L607" s="10">
        <v>103385403.3</v>
      </c>
      <c r="M607" s="10">
        <v>103475460</v>
      </c>
      <c r="N607" s="10">
        <v>98582.41</v>
      </c>
      <c r="O607" s="10">
        <v>103393589.8</v>
      </c>
      <c r="P607" s="10">
        <v>103381553.09999999</v>
      </c>
      <c r="Q607" s="10">
        <v>12036.64</v>
      </c>
      <c r="R607" s="10">
        <v>12676788.25</v>
      </c>
      <c r="S607" s="10">
        <v>7450846.9699999997</v>
      </c>
      <c r="T607" s="10">
        <v>52621.71</v>
      </c>
      <c r="U607" s="10">
        <v>23542.6</v>
      </c>
      <c r="V607" s="10">
        <v>2038.07</v>
      </c>
      <c r="W607" s="10">
        <v>6148.4</v>
      </c>
      <c r="X607" s="10">
        <v>2248.7800000000002</v>
      </c>
      <c r="Y607" s="9">
        <v>4515016</v>
      </c>
    </row>
    <row r="608" spans="1:25" ht="16.05" customHeight="1" x14ac:dyDescent="0.3">
      <c r="A608" s="2">
        <v>449</v>
      </c>
      <c r="B608" s="2">
        <v>7</v>
      </c>
      <c r="C608" s="2">
        <v>2023</v>
      </c>
      <c r="D608" s="3" t="s">
        <v>30</v>
      </c>
      <c r="E608" s="4">
        <v>734</v>
      </c>
      <c r="F608" s="5">
        <v>44797738.380000003</v>
      </c>
      <c r="G608" s="5">
        <v>11118798.67</v>
      </c>
      <c r="H608" s="6">
        <v>24.82</v>
      </c>
      <c r="I608" s="6">
        <v>8.48</v>
      </c>
      <c r="J608" s="5">
        <v>10169.709999999999</v>
      </c>
      <c r="K608" s="5">
        <v>17870.86</v>
      </c>
      <c r="L608" s="5">
        <v>44748322.850000001</v>
      </c>
      <c r="M608" s="5">
        <v>44786922.509999998</v>
      </c>
      <c r="N608" s="5">
        <v>49415.53</v>
      </c>
      <c r="O608" s="5">
        <v>44751812.710000001</v>
      </c>
      <c r="P608" s="5">
        <v>44740940.859999999</v>
      </c>
      <c r="Q608" s="5">
        <v>10871.85</v>
      </c>
      <c r="R608" s="5">
        <v>3798848.22</v>
      </c>
      <c r="S608" s="5">
        <v>7319950.4500000002</v>
      </c>
      <c r="T608" s="5">
        <v>117397.5</v>
      </c>
      <c r="U608" s="5">
        <v>38242.35</v>
      </c>
      <c r="V608" s="5">
        <v>1467.46</v>
      </c>
      <c r="W608" s="5">
        <v>2022.4</v>
      </c>
      <c r="X608" s="5">
        <v>3663.76</v>
      </c>
      <c r="Y608" s="4">
        <v>2749810</v>
      </c>
    </row>
    <row r="609" spans="1:25" ht="16.05" customHeight="1" x14ac:dyDescent="0.3">
      <c r="A609" s="7">
        <v>519</v>
      </c>
      <c r="B609" s="7">
        <v>8</v>
      </c>
      <c r="C609" s="7">
        <v>2023</v>
      </c>
      <c r="D609" s="8" t="s">
        <v>30</v>
      </c>
      <c r="E609" s="9">
        <v>980</v>
      </c>
      <c r="F609" s="10">
        <v>60655987.009999998</v>
      </c>
      <c r="G609" s="10">
        <v>12100869.41</v>
      </c>
      <c r="H609" s="11">
        <v>19.95</v>
      </c>
      <c r="I609" s="11">
        <v>12.58</v>
      </c>
      <c r="J609" s="10">
        <v>5865.71</v>
      </c>
      <c r="K609" s="10">
        <v>15989.93</v>
      </c>
      <c r="L609" s="10">
        <v>60606439.399999999</v>
      </c>
      <c r="M609" s="10">
        <v>60649529.740000002</v>
      </c>
      <c r="N609" s="10">
        <v>49547.61</v>
      </c>
      <c r="O609" s="10">
        <v>60615021.75</v>
      </c>
      <c r="P609" s="10">
        <v>60603870.520000003</v>
      </c>
      <c r="Q609" s="10">
        <v>11151.23</v>
      </c>
      <c r="R609" s="10">
        <v>7630523.1699999999</v>
      </c>
      <c r="S609" s="10">
        <v>4470346.24</v>
      </c>
      <c r="T609" s="10">
        <v>94934.16</v>
      </c>
      <c r="U609" s="10">
        <v>17435.560000000001</v>
      </c>
      <c r="V609" s="10">
        <v>3673.26</v>
      </c>
      <c r="W609" s="10">
        <v>4909.09</v>
      </c>
      <c r="X609" s="10">
        <v>3613.38</v>
      </c>
      <c r="Y609" s="9">
        <v>4753226</v>
      </c>
    </row>
    <row r="610" spans="1:25" ht="16.05" customHeight="1" x14ac:dyDescent="0.3">
      <c r="A610" s="2">
        <v>589</v>
      </c>
      <c r="B610" s="2">
        <v>9</v>
      </c>
      <c r="C610" s="2">
        <v>2023</v>
      </c>
      <c r="D610" s="3" t="s">
        <v>30</v>
      </c>
      <c r="E610" s="4">
        <v>5643</v>
      </c>
      <c r="F610" s="5">
        <v>236249641.69999999</v>
      </c>
      <c r="G610" s="5">
        <v>62629780.009999998</v>
      </c>
      <c r="H610" s="6">
        <v>26.51</v>
      </c>
      <c r="I610" s="6">
        <v>15.73</v>
      </c>
      <c r="J610" s="5">
        <v>8576.43</v>
      </c>
      <c r="K610" s="5">
        <v>6237.64</v>
      </c>
      <c r="L610" s="5">
        <v>236166409.30000001</v>
      </c>
      <c r="M610" s="5">
        <v>236231966.80000001</v>
      </c>
      <c r="N610" s="5">
        <v>83232.320000000007</v>
      </c>
      <c r="O610" s="5">
        <v>236181491.19999999</v>
      </c>
      <c r="P610" s="5">
        <v>236171718</v>
      </c>
      <c r="Q610" s="5">
        <v>9773.2800000000007</v>
      </c>
      <c r="R610" s="5">
        <v>37162068.630000003</v>
      </c>
      <c r="S610" s="5">
        <v>25467711.370000001</v>
      </c>
      <c r="T610" s="5">
        <v>26143.34</v>
      </c>
      <c r="U610" s="5">
        <v>36358.550000000003</v>
      </c>
      <c r="V610" s="5">
        <v>10293.629999999999</v>
      </c>
      <c r="W610" s="5">
        <v>4788.26</v>
      </c>
      <c r="X610" s="5">
        <v>4719.16</v>
      </c>
      <c r="Y610" s="4">
        <v>4230274</v>
      </c>
    </row>
    <row r="611" spans="1:25" ht="16.05" customHeight="1" x14ac:dyDescent="0.3">
      <c r="A611" s="7">
        <v>659</v>
      </c>
      <c r="B611" s="7">
        <v>10</v>
      </c>
      <c r="C611" s="7">
        <v>2023</v>
      </c>
      <c r="D611" s="8" t="s">
        <v>30</v>
      </c>
      <c r="E611" s="9">
        <v>346</v>
      </c>
      <c r="F611" s="10">
        <v>3224107.66</v>
      </c>
      <c r="G611" s="10">
        <v>946920.42</v>
      </c>
      <c r="H611" s="11">
        <v>29.37</v>
      </c>
      <c r="I611" s="11">
        <v>15.21</v>
      </c>
      <c r="J611" s="10">
        <v>10216.93</v>
      </c>
      <c r="K611" s="10">
        <v>7776.11</v>
      </c>
      <c r="L611" s="10">
        <v>3132875.62</v>
      </c>
      <c r="M611" s="10">
        <v>3205256.62</v>
      </c>
      <c r="N611" s="10">
        <v>91232.04</v>
      </c>
      <c r="O611" s="10">
        <v>3142896.76</v>
      </c>
      <c r="P611" s="10">
        <v>3133056.36</v>
      </c>
      <c r="Q611" s="10">
        <v>9840.4</v>
      </c>
      <c r="R611" s="10">
        <v>490386.78</v>
      </c>
      <c r="S611" s="10">
        <v>456533.65</v>
      </c>
      <c r="T611" s="10">
        <v>118264.82</v>
      </c>
      <c r="U611" s="10">
        <v>25894.77</v>
      </c>
      <c r="V611" s="10">
        <v>6409.14</v>
      </c>
      <c r="W611" s="10">
        <v>3612</v>
      </c>
      <c r="X611" s="10">
        <v>1746.03</v>
      </c>
      <c r="Y611" s="9">
        <v>4517330</v>
      </c>
    </row>
    <row r="612" spans="1:25" ht="16.05" customHeight="1" x14ac:dyDescent="0.3">
      <c r="A612" s="2">
        <v>729</v>
      </c>
      <c r="B612" s="2">
        <v>11</v>
      </c>
      <c r="C612" s="2">
        <v>2023</v>
      </c>
      <c r="D612" s="3" t="s">
        <v>30</v>
      </c>
      <c r="E612" s="4">
        <v>2412</v>
      </c>
      <c r="F612" s="5">
        <v>122886371.40000001</v>
      </c>
      <c r="G612" s="5">
        <v>31274581.530000001</v>
      </c>
      <c r="H612" s="6">
        <v>25.45</v>
      </c>
      <c r="I612" s="6">
        <v>12.58</v>
      </c>
      <c r="J612" s="5">
        <v>14595.16</v>
      </c>
      <c r="K612" s="5">
        <v>16123.66</v>
      </c>
      <c r="L612" s="5">
        <v>122800576.5</v>
      </c>
      <c r="M612" s="5">
        <v>122865151.09999999</v>
      </c>
      <c r="N612" s="5">
        <v>85794.92</v>
      </c>
      <c r="O612" s="5">
        <v>122812626.7</v>
      </c>
      <c r="P612" s="5">
        <v>122801370</v>
      </c>
      <c r="Q612" s="5">
        <v>11256.74</v>
      </c>
      <c r="R612" s="5">
        <v>15459105.529999999</v>
      </c>
      <c r="S612" s="5">
        <v>15815476</v>
      </c>
      <c r="T612" s="5">
        <v>44471.040000000001</v>
      </c>
      <c r="U612" s="5">
        <v>56911.86</v>
      </c>
      <c r="V612" s="5">
        <v>8079.18</v>
      </c>
      <c r="W612" s="5">
        <v>3971.04</v>
      </c>
      <c r="X612" s="5">
        <v>1723.09</v>
      </c>
      <c r="Y612" s="4">
        <v>1933254</v>
      </c>
    </row>
    <row r="613" spans="1:25" ht="16.05" customHeight="1" x14ac:dyDescent="0.3">
      <c r="A613" s="7">
        <v>799</v>
      </c>
      <c r="B613" s="7">
        <v>12</v>
      </c>
      <c r="C613" s="7">
        <v>2023</v>
      </c>
      <c r="D613" s="8" t="s">
        <v>30</v>
      </c>
      <c r="E613" s="9">
        <v>653</v>
      </c>
      <c r="F613" s="10">
        <v>19940426.309999999</v>
      </c>
      <c r="G613" s="10">
        <v>4249304.8499999996</v>
      </c>
      <c r="H613" s="11">
        <v>21.31</v>
      </c>
      <c r="I613" s="11">
        <v>7.37</v>
      </c>
      <c r="J613" s="10">
        <v>14258.32</v>
      </c>
      <c r="K613" s="10">
        <v>8396.6200000000008</v>
      </c>
      <c r="L613" s="10">
        <v>19920740.600000001</v>
      </c>
      <c r="M613" s="10">
        <v>19917993.359999999</v>
      </c>
      <c r="N613" s="10">
        <v>19685.71</v>
      </c>
      <c r="O613" s="10">
        <v>19931169.309999999</v>
      </c>
      <c r="P613" s="10">
        <v>19928668.550000001</v>
      </c>
      <c r="Q613" s="10">
        <v>2500.7600000000002</v>
      </c>
      <c r="R613" s="10">
        <v>1469609.42</v>
      </c>
      <c r="S613" s="10">
        <v>2779695.43</v>
      </c>
      <c r="T613" s="10">
        <v>49146.41</v>
      </c>
      <c r="U613" s="10">
        <v>7023.58</v>
      </c>
      <c r="V613" s="10">
        <v>5059.3999999999996</v>
      </c>
      <c r="W613" s="10">
        <v>5369.31</v>
      </c>
      <c r="X613" s="10">
        <v>4085.82</v>
      </c>
      <c r="Y613" s="9">
        <v>4801968</v>
      </c>
    </row>
    <row r="614" spans="1:25" ht="16.05" customHeight="1" x14ac:dyDescent="0.3">
      <c r="A614" s="2">
        <v>869</v>
      </c>
      <c r="B614" s="2">
        <v>13</v>
      </c>
      <c r="C614" s="2">
        <v>2023</v>
      </c>
      <c r="D614" s="3" t="s">
        <v>30</v>
      </c>
      <c r="E614" s="4">
        <v>6410</v>
      </c>
      <c r="F614" s="5">
        <v>403655686.69999999</v>
      </c>
      <c r="G614" s="5">
        <v>86059392.400000006</v>
      </c>
      <c r="H614" s="6">
        <v>21.32</v>
      </c>
      <c r="I614" s="6">
        <v>14.13</v>
      </c>
      <c r="J614" s="5">
        <v>5618.3</v>
      </c>
      <c r="K614" s="5">
        <v>3861.49</v>
      </c>
      <c r="L614" s="5">
        <v>403619914.60000002</v>
      </c>
      <c r="M614" s="5">
        <v>403651178.69999999</v>
      </c>
      <c r="N614" s="5">
        <v>35772.129999999997</v>
      </c>
      <c r="O614" s="5">
        <v>403629336.39999998</v>
      </c>
      <c r="P614" s="5">
        <v>403626663</v>
      </c>
      <c r="Q614" s="5">
        <v>2673.38</v>
      </c>
      <c r="R614" s="5">
        <v>57036548.530000001</v>
      </c>
      <c r="S614" s="5">
        <v>29022843.870000001</v>
      </c>
      <c r="T614" s="5">
        <v>34191.19</v>
      </c>
      <c r="U614" s="5">
        <v>46074.17</v>
      </c>
      <c r="V614" s="5">
        <v>5453.06</v>
      </c>
      <c r="W614" s="5">
        <v>3968.79</v>
      </c>
      <c r="X614" s="5">
        <v>2795.05</v>
      </c>
      <c r="Y614" s="4">
        <v>2578452</v>
      </c>
    </row>
    <row r="615" spans="1:25" ht="16.05" customHeight="1" x14ac:dyDescent="0.3">
      <c r="A615" s="7">
        <v>939</v>
      </c>
      <c r="B615" s="7">
        <v>14</v>
      </c>
      <c r="C615" s="7">
        <v>2023</v>
      </c>
      <c r="D615" s="8" t="s">
        <v>30</v>
      </c>
      <c r="E615" s="9">
        <v>2188</v>
      </c>
      <c r="F615" s="10">
        <v>126489095.2</v>
      </c>
      <c r="G615" s="10">
        <v>17607282.050000001</v>
      </c>
      <c r="H615" s="11">
        <v>13.92</v>
      </c>
      <c r="I615" s="11">
        <v>16.86</v>
      </c>
      <c r="J615" s="10">
        <v>5317.29</v>
      </c>
      <c r="K615" s="10">
        <v>14480.79</v>
      </c>
      <c r="L615" s="10">
        <v>126402831.40000001</v>
      </c>
      <c r="M615" s="10">
        <v>126474088</v>
      </c>
      <c r="N615" s="10">
        <v>86263.76</v>
      </c>
      <c r="O615" s="10">
        <v>126414850.5</v>
      </c>
      <c r="P615" s="10">
        <v>126401711.90000001</v>
      </c>
      <c r="Q615" s="10">
        <v>13138.58</v>
      </c>
      <c r="R615" s="10">
        <v>21326061.449999999</v>
      </c>
      <c r="S615" s="10">
        <v>-3718779.4</v>
      </c>
      <c r="T615" s="10">
        <v>84882.22</v>
      </c>
      <c r="U615" s="10">
        <v>14712.39</v>
      </c>
      <c r="V615" s="10">
        <v>9872.32</v>
      </c>
      <c r="W615" s="10">
        <v>2146.79</v>
      </c>
      <c r="X615" s="10">
        <v>3953.24</v>
      </c>
      <c r="Y615" s="9">
        <v>4734798</v>
      </c>
    </row>
    <row r="616" spans="1:25" ht="16.05" customHeight="1" x14ac:dyDescent="0.3">
      <c r="A616" s="2">
        <v>1009</v>
      </c>
      <c r="B616" s="2">
        <v>15</v>
      </c>
      <c r="C616" s="2">
        <v>2023</v>
      </c>
      <c r="D616" s="3" t="s">
        <v>30</v>
      </c>
      <c r="E616" s="4">
        <v>4480</v>
      </c>
      <c r="F616" s="5">
        <v>113549351.8</v>
      </c>
      <c r="G616" s="5">
        <v>33190475.52</v>
      </c>
      <c r="H616" s="6">
        <v>29.23</v>
      </c>
      <c r="I616" s="6">
        <v>19.63</v>
      </c>
      <c r="J616" s="5">
        <v>14835.15</v>
      </c>
      <c r="K616" s="5">
        <v>3447.59</v>
      </c>
      <c r="L616" s="5">
        <v>113499953.59999999</v>
      </c>
      <c r="M616" s="5">
        <v>113537019.3</v>
      </c>
      <c r="N616" s="5">
        <v>49398.17</v>
      </c>
      <c r="O616" s="5">
        <v>113511472.3</v>
      </c>
      <c r="P616" s="5">
        <v>113499005.09999999</v>
      </c>
      <c r="Q616" s="5">
        <v>12467.21</v>
      </c>
      <c r="R616" s="5">
        <v>22289737.75</v>
      </c>
      <c r="S616" s="5">
        <v>10900737.77</v>
      </c>
      <c r="T616" s="5">
        <v>90604.31</v>
      </c>
      <c r="U616" s="5">
        <v>25986.42</v>
      </c>
      <c r="V616" s="5">
        <v>4466.3999999999996</v>
      </c>
      <c r="W616" s="5">
        <v>7052.31</v>
      </c>
      <c r="X616" s="5">
        <v>2837.36</v>
      </c>
      <c r="Y616" s="4">
        <v>2935664</v>
      </c>
    </row>
    <row r="617" spans="1:25" ht="16.05" customHeight="1" x14ac:dyDescent="0.3">
      <c r="A617" s="7">
        <v>1079</v>
      </c>
      <c r="B617" s="7">
        <v>16</v>
      </c>
      <c r="C617" s="7">
        <v>2023</v>
      </c>
      <c r="D617" s="8" t="s">
        <v>30</v>
      </c>
      <c r="E617" s="9">
        <v>3397</v>
      </c>
      <c r="F617" s="10">
        <v>173919661.80000001</v>
      </c>
      <c r="G617" s="10">
        <v>37879702.340000004</v>
      </c>
      <c r="H617" s="11">
        <v>21.78</v>
      </c>
      <c r="I617" s="11">
        <v>19.04</v>
      </c>
      <c r="J617" s="10">
        <v>11740.73</v>
      </c>
      <c r="K617" s="10">
        <v>7598.09</v>
      </c>
      <c r="L617" s="10">
        <v>173893653.09999999</v>
      </c>
      <c r="M617" s="10">
        <v>173904752.69999999</v>
      </c>
      <c r="N617" s="10">
        <v>26008.69</v>
      </c>
      <c r="O617" s="10">
        <v>173901687.80000001</v>
      </c>
      <c r="P617" s="10">
        <v>173898050.59999999</v>
      </c>
      <c r="Q617" s="10">
        <v>3637.2</v>
      </c>
      <c r="R617" s="10">
        <v>33114303.609999999</v>
      </c>
      <c r="S617" s="10">
        <v>4765398.7300000004</v>
      </c>
      <c r="T617" s="10">
        <v>119583.01</v>
      </c>
      <c r="U617" s="10">
        <v>32500.52</v>
      </c>
      <c r="V617" s="10">
        <v>3364.82</v>
      </c>
      <c r="W617" s="10">
        <v>4669.8900000000003</v>
      </c>
      <c r="X617" s="10">
        <v>4419.6000000000004</v>
      </c>
      <c r="Y617" s="9">
        <v>1456974</v>
      </c>
    </row>
    <row r="618" spans="1:25" ht="16.05" customHeight="1" x14ac:dyDescent="0.3">
      <c r="A618" s="2">
        <v>1149</v>
      </c>
      <c r="B618" s="2">
        <v>17</v>
      </c>
      <c r="C618" s="2">
        <v>2023</v>
      </c>
      <c r="D618" s="3" t="s">
        <v>30</v>
      </c>
      <c r="E618" s="4">
        <v>1542</v>
      </c>
      <c r="F618" s="5">
        <v>35673547.670000002</v>
      </c>
      <c r="G618" s="5">
        <v>6053801.04</v>
      </c>
      <c r="H618" s="6">
        <v>16.97</v>
      </c>
      <c r="I618" s="6">
        <v>7.86</v>
      </c>
      <c r="J618" s="5">
        <v>4734.32</v>
      </c>
      <c r="K618" s="5">
        <v>15604.01</v>
      </c>
      <c r="L618" s="5">
        <v>35595022.859999999</v>
      </c>
      <c r="M618" s="5">
        <v>35663261.969999999</v>
      </c>
      <c r="N618" s="5">
        <v>78524.81</v>
      </c>
      <c r="O618" s="5">
        <v>35608446.759999998</v>
      </c>
      <c r="P618" s="5">
        <v>35599954.450000003</v>
      </c>
      <c r="Q618" s="5">
        <v>8492.31</v>
      </c>
      <c r="R618" s="5">
        <v>2803940.85</v>
      </c>
      <c r="S618" s="5">
        <v>3249860.19</v>
      </c>
      <c r="T618" s="5">
        <v>20936.23</v>
      </c>
      <c r="U618" s="5">
        <v>57154.55</v>
      </c>
      <c r="V618" s="5">
        <v>9558.81</v>
      </c>
      <c r="W618" s="5">
        <v>3865.09</v>
      </c>
      <c r="X618" s="5">
        <v>2419.6799999999998</v>
      </c>
      <c r="Y618" s="4">
        <v>1401627</v>
      </c>
    </row>
    <row r="619" spans="1:25" ht="16.05" customHeight="1" x14ac:dyDescent="0.3">
      <c r="A619" s="7">
        <v>1219</v>
      </c>
      <c r="B619" s="7">
        <v>18</v>
      </c>
      <c r="C619" s="7">
        <v>2023</v>
      </c>
      <c r="D619" s="8" t="s">
        <v>30</v>
      </c>
      <c r="E619" s="9">
        <v>6956</v>
      </c>
      <c r="F619" s="10">
        <v>439004113.30000001</v>
      </c>
      <c r="G619" s="10">
        <v>50880576.729999997</v>
      </c>
      <c r="H619" s="11">
        <v>11.59</v>
      </c>
      <c r="I619" s="11">
        <v>8.65</v>
      </c>
      <c r="J619" s="10">
        <v>3533.9</v>
      </c>
      <c r="K619" s="10">
        <v>8425.4</v>
      </c>
      <c r="L619" s="10">
        <v>438992451.19999999</v>
      </c>
      <c r="M619" s="10">
        <v>438997443.60000002</v>
      </c>
      <c r="N619" s="10">
        <v>11662.02</v>
      </c>
      <c r="O619" s="10">
        <v>439001551.5</v>
      </c>
      <c r="P619" s="10">
        <v>438994697.30000001</v>
      </c>
      <c r="Q619" s="10">
        <v>6854.17</v>
      </c>
      <c r="R619" s="10">
        <v>37973855.799999997</v>
      </c>
      <c r="S619" s="10">
        <v>12906720.93</v>
      </c>
      <c r="T619" s="10">
        <v>87227.85</v>
      </c>
      <c r="U619" s="10">
        <v>34143.449999999997</v>
      </c>
      <c r="V619" s="10">
        <v>7893.31</v>
      </c>
      <c r="W619" s="10">
        <v>1206.92</v>
      </c>
      <c r="X619" s="10">
        <v>3110.96</v>
      </c>
      <c r="Y619" s="9">
        <v>1464798</v>
      </c>
    </row>
    <row r="620" spans="1:25" ht="16.05" customHeight="1" x14ac:dyDescent="0.3">
      <c r="A620" s="2">
        <v>1289</v>
      </c>
      <c r="B620" s="2">
        <v>19</v>
      </c>
      <c r="C620" s="2">
        <v>2023</v>
      </c>
      <c r="D620" s="3" t="s">
        <v>30</v>
      </c>
      <c r="E620" s="4">
        <v>2019</v>
      </c>
      <c r="F620" s="5">
        <v>21586111.010000002</v>
      </c>
      <c r="G620" s="5">
        <v>1692351.1</v>
      </c>
      <c r="H620" s="6">
        <v>7.84</v>
      </c>
      <c r="I620" s="6">
        <v>18.36</v>
      </c>
      <c r="J620" s="5">
        <v>4982.63</v>
      </c>
      <c r="K620" s="5">
        <v>11785.61</v>
      </c>
      <c r="L620" s="5">
        <v>21559798.510000002</v>
      </c>
      <c r="M620" s="5">
        <v>21582012.23</v>
      </c>
      <c r="N620" s="5">
        <v>26312.5</v>
      </c>
      <c r="O620" s="5">
        <v>21566456.199999999</v>
      </c>
      <c r="P620" s="5">
        <v>21562259.199999999</v>
      </c>
      <c r="Q620" s="5">
        <v>4197</v>
      </c>
      <c r="R620" s="5">
        <v>3963209.98</v>
      </c>
      <c r="S620" s="5">
        <v>-2270858.88</v>
      </c>
      <c r="T620" s="5">
        <v>16440.3</v>
      </c>
      <c r="U620" s="5">
        <v>37195.33</v>
      </c>
      <c r="V620" s="5">
        <v>6002.9</v>
      </c>
      <c r="W620" s="5">
        <v>654.79</v>
      </c>
      <c r="X620" s="5">
        <v>3897.89</v>
      </c>
      <c r="Y620" s="4">
        <v>3246674</v>
      </c>
    </row>
    <row r="621" spans="1:25" ht="16.05" customHeight="1" x14ac:dyDescent="0.3">
      <c r="A621" s="7">
        <v>1359</v>
      </c>
      <c r="B621" s="7">
        <v>20</v>
      </c>
      <c r="C621" s="7">
        <v>2023</v>
      </c>
      <c r="D621" s="8" t="s">
        <v>30</v>
      </c>
      <c r="E621" s="9">
        <v>1633</v>
      </c>
      <c r="F621" s="10">
        <v>110675397.7</v>
      </c>
      <c r="G621" s="10">
        <v>30524274.68</v>
      </c>
      <c r="H621" s="11">
        <v>27.58</v>
      </c>
      <c r="I621" s="11">
        <v>8.6999999999999993</v>
      </c>
      <c r="J621" s="10">
        <v>3866.13</v>
      </c>
      <c r="K621" s="10">
        <v>6373.05</v>
      </c>
      <c r="L621" s="10">
        <v>110592272</v>
      </c>
      <c r="M621" s="10">
        <v>110668773.8</v>
      </c>
      <c r="N621" s="10">
        <v>83125.67</v>
      </c>
      <c r="O621" s="10">
        <v>110607031.59999999</v>
      </c>
      <c r="P621" s="10">
        <v>110593380.59999999</v>
      </c>
      <c r="Q621" s="10">
        <v>13651.07</v>
      </c>
      <c r="R621" s="10">
        <v>9628759.5999999996</v>
      </c>
      <c r="S621" s="10">
        <v>20895515.079999998</v>
      </c>
      <c r="T621" s="10">
        <v>21738.49</v>
      </c>
      <c r="U621" s="10">
        <v>10086.25</v>
      </c>
      <c r="V621" s="10">
        <v>9147.7999999999993</v>
      </c>
      <c r="W621" s="10">
        <v>5611.84</v>
      </c>
      <c r="X621" s="10">
        <v>2376.21</v>
      </c>
      <c r="Y621" s="9">
        <v>4801997</v>
      </c>
    </row>
    <row r="622" spans="1:25" ht="16.05" customHeight="1" x14ac:dyDescent="0.3">
      <c r="A622" s="2">
        <v>1429</v>
      </c>
      <c r="B622" s="2">
        <v>21</v>
      </c>
      <c r="C622" s="2">
        <v>2023</v>
      </c>
      <c r="D622" s="3" t="s">
        <v>30</v>
      </c>
      <c r="E622" s="4">
        <v>5866</v>
      </c>
      <c r="F622" s="5">
        <v>85693803.280000001</v>
      </c>
      <c r="G622" s="5">
        <v>24242776.949999999</v>
      </c>
      <c r="H622" s="6">
        <v>28.29</v>
      </c>
      <c r="I622" s="6">
        <v>9.44</v>
      </c>
      <c r="J622" s="5">
        <v>3874.7</v>
      </c>
      <c r="K622" s="5">
        <v>3879.52</v>
      </c>
      <c r="L622" s="5">
        <v>85651001.969999999</v>
      </c>
      <c r="M622" s="5">
        <v>85678754.159999996</v>
      </c>
      <c r="N622" s="5">
        <v>42801.31</v>
      </c>
      <c r="O622" s="5">
        <v>85664267.969999999</v>
      </c>
      <c r="P622" s="5">
        <v>85650097.909999996</v>
      </c>
      <c r="Q622" s="5">
        <v>14170.06</v>
      </c>
      <c r="R622" s="5">
        <v>8089495.0300000003</v>
      </c>
      <c r="S622" s="5">
        <v>16153281.92</v>
      </c>
      <c r="T622" s="5">
        <v>98285.41</v>
      </c>
      <c r="U622" s="5">
        <v>36841.279999999999</v>
      </c>
      <c r="V622" s="5">
        <v>8628.02</v>
      </c>
      <c r="W622" s="5">
        <v>4637.9799999999996</v>
      </c>
      <c r="X622" s="5">
        <v>3119.97</v>
      </c>
      <c r="Y622" s="4">
        <v>4889032</v>
      </c>
    </row>
    <row r="623" spans="1:25" ht="16.05" customHeight="1" x14ac:dyDescent="0.3">
      <c r="A623" s="7">
        <v>1499</v>
      </c>
      <c r="B623" s="7">
        <v>22</v>
      </c>
      <c r="C623" s="7">
        <v>2023</v>
      </c>
      <c r="D623" s="8" t="s">
        <v>30</v>
      </c>
      <c r="E623" s="9">
        <v>6158</v>
      </c>
      <c r="F623" s="10">
        <v>193922845.30000001</v>
      </c>
      <c r="G623" s="10">
        <v>33800751.93</v>
      </c>
      <c r="H623" s="11">
        <v>17.43</v>
      </c>
      <c r="I623" s="11">
        <v>16.11</v>
      </c>
      <c r="J623" s="10">
        <v>1500.46</v>
      </c>
      <c r="K623" s="10">
        <v>15209.88</v>
      </c>
      <c r="L623" s="10">
        <v>193843524.40000001</v>
      </c>
      <c r="M623" s="10">
        <v>193915227.19999999</v>
      </c>
      <c r="N623" s="10">
        <v>79320.87</v>
      </c>
      <c r="O623" s="10">
        <v>193848690.69999999</v>
      </c>
      <c r="P623" s="10">
        <v>193846498</v>
      </c>
      <c r="Q623" s="10">
        <v>2192.71</v>
      </c>
      <c r="R623" s="10">
        <v>31240970.379999999</v>
      </c>
      <c r="S623" s="10">
        <v>2559781.56</v>
      </c>
      <c r="T623" s="10">
        <v>61767.89</v>
      </c>
      <c r="U623" s="10">
        <v>13480.44</v>
      </c>
      <c r="V623" s="10">
        <v>1739.31</v>
      </c>
      <c r="W623" s="10">
        <v>3426.94</v>
      </c>
      <c r="X623" s="10">
        <v>1978.43</v>
      </c>
      <c r="Y623" s="9">
        <v>1184909</v>
      </c>
    </row>
    <row r="624" spans="1:25" ht="16.05" customHeight="1" x14ac:dyDescent="0.3">
      <c r="A624" s="2">
        <v>1569</v>
      </c>
      <c r="B624" s="2">
        <v>23</v>
      </c>
      <c r="C624" s="2">
        <v>2023</v>
      </c>
      <c r="D624" s="3" t="s">
        <v>30</v>
      </c>
      <c r="E624" s="4">
        <v>4398</v>
      </c>
      <c r="F624" s="5">
        <v>279043728.60000002</v>
      </c>
      <c r="G624" s="5">
        <v>34182856.75</v>
      </c>
      <c r="H624" s="6">
        <v>12.25</v>
      </c>
      <c r="I624" s="6">
        <v>6.84</v>
      </c>
      <c r="J624" s="5">
        <v>11376.2</v>
      </c>
      <c r="K624" s="5">
        <v>13968.54</v>
      </c>
      <c r="L624" s="5">
        <v>278946450.89999998</v>
      </c>
      <c r="M624" s="5">
        <v>279028893.60000002</v>
      </c>
      <c r="N624" s="5">
        <v>97277.72</v>
      </c>
      <c r="O624" s="5">
        <v>278955013.10000002</v>
      </c>
      <c r="P624" s="5">
        <v>278949265.89999998</v>
      </c>
      <c r="Q624" s="5">
        <v>5747.15</v>
      </c>
      <c r="R624" s="5">
        <v>19086591.030000001</v>
      </c>
      <c r="S624" s="5">
        <v>15096265.720000001</v>
      </c>
      <c r="T624" s="5">
        <v>77374.009999999995</v>
      </c>
      <c r="U624" s="5">
        <v>42208.75</v>
      </c>
      <c r="V624" s="5">
        <v>1009.05</v>
      </c>
      <c r="W624" s="5">
        <v>7553.15</v>
      </c>
      <c r="X624" s="5">
        <v>1223.71</v>
      </c>
      <c r="Y624" s="4">
        <v>2583048</v>
      </c>
    </row>
    <row r="625" spans="1:25" ht="16.05" customHeight="1" x14ac:dyDescent="0.3">
      <c r="A625" s="7">
        <v>1639</v>
      </c>
      <c r="B625" s="7">
        <v>24</v>
      </c>
      <c r="C625" s="7">
        <v>2023</v>
      </c>
      <c r="D625" s="8" t="s">
        <v>30</v>
      </c>
      <c r="E625" s="9">
        <v>1915</v>
      </c>
      <c r="F625" s="10">
        <v>54646410.939999998</v>
      </c>
      <c r="G625" s="10">
        <v>11273554.58</v>
      </c>
      <c r="H625" s="11">
        <v>20.63</v>
      </c>
      <c r="I625" s="11">
        <v>6.75</v>
      </c>
      <c r="J625" s="10">
        <v>3889.13</v>
      </c>
      <c r="K625" s="10">
        <v>15868.39</v>
      </c>
      <c r="L625" s="10">
        <v>54629759.700000003</v>
      </c>
      <c r="M625" s="10">
        <v>54626103.009999998</v>
      </c>
      <c r="N625" s="10">
        <v>16651.240000000002</v>
      </c>
      <c r="O625" s="10">
        <v>54645928.039999999</v>
      </c>
      <c r="P625" s="10">
        <v>54642737.380000003</v>
      </c>
      <c r="Q625" s="10">
        <v>3190.66</v>
      </c>
      <c r="R625" s="10">
        <v>3688632.74</v>
      </c>
      <c r="S625" s="10">
        <v>7584921.8399999999</v>
      </c>
      <c r="T625" s="10">
        <v>79860.570000000007</v>
      </c>
      <c r="U625" s="10">
        <v>5979.08</v>
      </c>
      <c r="V625" s="10">
        <v>9345.3799999999992</v>
      </c>
      <c r="W625" s="10">
        <v>6822.96</v>
      </c>
      <c r="X625" s="10">
        <v>3479.34</v>
      </c>
      <c r="Y625" s="9">
        <v>2969063</v>
      </c>
    </row>
    <row r="626" spans="1:25" ht="16.05" customHeight="1" x14ac:dyDescent="0.3">
      <c r="A626" s="2">
        <v>1709</v>
      </c>
      <c r="B626" s="2">
        <v>25</v>
      </c>
      <c r="C626" s="2">
        <v>2023</v>
      </c>
      <c r="D626" s="3" t="s">
        <v>30</v>
      </c>
      <c r="E626" s="4">
        <v>2948</v>
      </c>
      <c r="F626" s="5">
        <v>67333379.269999996</v>
      </c>
      <c r="G626" s="5">
        <v>7144071.54</v>
      </c>
      <c r="H626" s="6">
        <v>10.61</v>
      </c>
      <c r="I626" s="6">
        <v>19.190000000000001</v>
      </c>
      <c r="J626" s="5">
        <v>8029.76</v>
      </c>
      <c r="K626" s="5">
        <v>10169.83</v>
      </c>
      <c r="L626" s="5">
        <v>67296426.459999993</v>
      </c>
      <c r="M626" s="5">
        <v>67323433.780000001</v>
      </c>
      <c r="N626" s="5">
        <v>36952.81</v>
      </c>
      <c r="O626" s="5">
        <v>67300359.459999993</v>
      </c>
      <c r="P626" s="5">
        <v>67286616.739999995</v>
      </c>
      <c r="Q626" s="5">
        <v>13742.72</v>
      </c>
      <c r="R626" s="5">
        <v>12921275.48</v>
      </c>
      <c r="S626" s="5">
        <v>-5777203.9400000004</v>
      </c>
      <c r="T626" s="5">
        <v>81513.11</v>
      </c>
      <c r="U626" s="5">
        <v>5216.09</v>
      </c>
      <c r="V626" s="5">
        <v>3286.5</v>
      </c>
      <c r="W626" s="5">
        <v>646.5</v>
      </c>
      <c r="X626" s="5">
        <v>3065.17</v>
      </c>
      <c r="Y626" s="4">
        <v>4759011</v>
      </c>
    </row>
    <row r="627" spans="1:25" ht="16.05" customHeight="1" x14ac:dyDescent="0.3">
      <c r="A627" s="7">
        <v>1779</v>
      </c>
      <c r="B627" s="7">
        <v>26</v>
      </c>
      <c r="C627" s="7">
        <v>2023</v>
      </c>
      <c r="D627" s="8" t="s">
        <v>30</v>
      </c>
      <c r="E627" s="9">
        <v>221</v>
      </c>
      <c r="F627" s="10">
        <v>4885171.68</v>
      </c>
      <c r="G627" s="10">
        <v>1225689.57</v>
      </c>
      <c r="H627" s="11">
        <v>25.09</v>
      </c>
      <c r="I627" s="11">
        <v>8.2200000000000006</v>
      </c>
      <c r="J627" s="10">
        <v>8469</v>
      </c>
      <c r="K627" s="10">
        <v>2210.88</v>
      </c>
      <c r="L627" s="10">
        <v>4871704.8099999996</v>
      </c>
      <c r="M627" s="10">
        <v>4864832.46</v>
      </c>
      <c r="N627" s="10">
        <v>13466.87</v>
      </c>
      <c r="O627" s="10">
        <v>4882625.3899999997</v>
      </c>
      <c r="P627" s="10">
        <v>4871932.59</v>
      </c>
      <c r="Q627" s="10">
        <v>10692.8</v>
      </c>
      <c r="R627" s="10">
        <v>401561.11</v>
      </c>
      <c r="S627" s="10">
        <v>824128.46</v>
      </c>
      <c r="T627" s="10">
        <v>85203.23</v>
      </c>
      <c r="U627" s="10">
        <v>46933.37</v>
      </c>
      <c r="V627" s="10">
        <v>5441.49</v>
      </c>
      <c r="W627" s="10">
        <v>5479.09</v>
      </c>
      <c r="X627" s="10">
        <v>4202.12</v>
      </c>
      <c r="Y627" s="9">
        <v>1002076</v>
      </c>
    </row>
    <row r="628" spans="1:25" ht="16.05" customHeight="1" x14ac:dyDescent="0.3">
      <c r="A628" s="2">
        <v>1849</v>
      </c>
      <c r="B628" s="2">
        <v>27</v>
      </c>
      <c r="C628" s="2">
        <v>2023</v>
      </c>
      <c r="D628" s="3" t="s">
        <v>30</v>
      </c>
      <c r="E628" s="4">
        <v>4558</v>
      </c>
      <c r="F628" s="5">
        <v>298013472.19999999</v>
      </c>
      <c r="G628" s="5">
        <v>61301371.240000002</v>
      </c>
      <c r="H628" s="6">
        <v>20.57</v>
      </c>
      <c r="I628" s="6">
        <v>14.69</v>
      </c>
      <c r="J628" s="5">
        <v>9879.65</v>
      </c>
      <c r="K628" s="5">
        <v>18659.96</v>
      </c>
      <c r="L628" s="5">
        <v>297948189.60000002</v>
      </c>
      <c r="M628" s="5">
        <v>298003249.69999999</v>
      </c>
      <c r="N628" s="5">
        <v>65282.65</v>
      </c>
      <c r="O628" s="5">
        <v>297955622</v>
      </c>
      <c r="P628" s="5">
        <v>297947607.80000001</v>
      </c>
      <c r="Q628" s="5">
        <v>8014.24</v>
      </c>
      <c r="R628" s="5">
        <v>43778179.07</v>
      </c>
      <c r="S628" s="5">
        <v>17523192.170000002</v>
      </c>
      <c r="T628" s="5">
        <v>52292.37</v>
      </c>
      <c r="U628" s="5">
        <v>35821.120000000003</v>
      </c>
      <c r="V628" s="5">
        <v>1307.82</v>
      </c>
      <c r="W628" s="5">
        <v>6124.62</v>
      </c>
      <c r="X628" s="5">
        <v>2791.81</v>
      </c>
      <c r="Y628" s="4">
        <v>1609310</v>
      </c>
    </row>
    <row r="629" spans="1:25" ht="16.05" customHeight="1" x14ac:dyDescent="0.3">
      <c r="A629" s="7">
        <v>1919</v>
      </c>
      <c r="B629" s="7">
        <v>28</v>
      </c>
      <c r="C629" s="7">
        <v>2023</v>
      </c>
      <c r="D629" s="8" t="s">
        <v>30</v>
      </c>
      <c r="E629" s="9">
        <v>5623</v>
      </c>
      <c r="F629" s="10">
        <v>252722985.40000001</v>
      </c>
      <c r="G629" s="10">
        <v>73542388.760000005</v>
      </c>
      <c r="H629" s="11">
        <v>29.1</v>
      </c>
      <c r="I629" s="11">
        <v>5.48</v>
      </c>
      <c r="J629" s="10">
        <v>4920.97</v>
      </c>
      <c r="K629" s="10">
        <v>3011.58</v>
      </c>
      <c r="L629" s="10">
        <v>252663109</v>
      </c>
      <c r="M629" s="10">
        <v>252704647.59999999</v>
      </c>
      <c r="N629" s="10">
        <v>59876.42</v>
      </c>
      <c r="O629" s="10">
        <v>252676091.69999999</v>
      </c>
      <c r="P629" s="10">
        <v>252667437.19999999</v>
      </c>
      <c r="Q629" s="10">
        <v>8654.49</v>
      </c>
      <c r="R629" s="10">
        <v>13849219.6</v>
      </c>
      <c r="S629" s="10">
        <v>59693169.159999996</v>
      </c>
      <c r="T629" s="10">
        <v>99043.64</v>
      </c>
      <c r="U629" s="10">
        <v>26553.45</v>
      </c>
      <c r="V629" s="10">
        <v>9979.75</v>
      </c>
      <c r="W629" s="10">
        <v>3002.91</v>
      </c>
      <c r="X629" s="10">
        <v>1135.29</v>
      </c>
      <c r="Y629" s="9">
        <v>4421798</v>
      </c>
    </row>
    <row r="630" spans="1:25" ht="16.05" customHeight="1" x14ac:dyDescent="0.3">
      <c r="A630" s="2">
        <v>1989</v>
      </c>
      <c r="B630" s="2">
        <v>29</v>
      </c>
      <c r="C630" s="2">
        <v>2023</v>
      </c>
      <c r="D630" s="3" t="s">
        <v>30</v>
      </c>
      <c r="E630" s="4">
        <v>6882</v>
      </c>
      <c r="F630" s="5">
        <v>234582033.19999999</v>
      </c>
      <c r="G630" s="5">
        <v>44312546.079999998</v>
      </c>
      <c r="H630" s="6">
        <v>18.89</v>
      </c>
      <c r="I630" s="6">
        <v>5.07</v>
      </c>
      <c r="J630" s="5">
        <v>1613.88</v>
      </c>
      <c r="K630" s="5">
        <v>12726.55</v>
      </c>
      <c r="L630" s="5">
        <v>234483609.69999999</v>
      </c>
      <c r="M630" s="5">
        <v>234578611.30000001</v>
      </c>
      <c r="N630" s="5">
        <v>98423.55</v>
      </c>
      <c r="O630" s="5">
        <v>234495265.80000001</v>
      </c>
      <c r="P630" s="5">
        <v>234492152.59999999</v>
      </c>
      <c r="Q630" s="5">
        <v>3113.12</v>
      </c>
      <c r="R630" s="5">
        <v>11893309.08</v>
      </c>
      <c r="S630" s="5">
        <v>32419236.989999998</v>
      </c>
      <c r="T630" s="5">
        <v>107429.28</v>
      </c>
      <c r="U630" s="5">
        <v>16849.03</v>
      </c>
      <c r="V630" s="5">
        <v>5047.4799999999996</v>
      </c>
      <c r="W630" s="5">
        <v>6608.6</v>
      </c>
      <c r="X630" s="5">
        <v>4835.12</v>
      </c>
      <c r="Y630" s="4">
        <v>2222079</v>
      </c>
    </row>
    <row r="631" spans="1:25" ht="16.05" customHeight="1" x14ac:dyDescent="0.3">
      <c r="A631" s="7">
        <v>2059</v>
      </c>
      <c r="B631" s="7">
        <v>30</v>
      </c>
      <c r="C631" s="7">
        <v>2023</v>
      </c>
      <c r="D631" s="8" t="s">
        <v>30</v>
      </c>
      <c r="E631" s="9">
        <v>3780</v>
      </c>
      <c r="F631" s="10">
        <v>158548493.09999999</v>
      </c>
      <c r="G631" s="10">
        <v>44139900.469999999</v>
      </c>
      <c r="H631" s="11">
        <v>27.84</v>
      </c>
      <c r="I631" s="11">
        <v>7.73</v>
      </c>
      <c r="J631" s="10">
        <v>3050.72</v>
      </c>
      <c r="K631" s="10">
        <v>12319.84</v>
      </c>
      <c r="L631" s="10">
        <v>158479028.09999999</v>
      </c>
      <c r="M631" s="10">
        <v>158525272</v>
      </c>
      <c r="N631" s="10">
        <v>69465.02</v>
      </c>
      <c r="O631" s="10">
        <v>158487742.5</v>
      </c>
      <c r="P631" s="10">
        <v>158481422.59999999</v>
      </c>
      <c r="Q631" s="10">
        <v>6319.86</v>
      </c>
      <c r="R631" s="10">
        <v>12255798.51</v>
      </c>
      <c r="S631" s="10">
        <v>31884101.960000001</v>
      </c>
      <c r="T631" s="10">
        <v>20745.689999999999</v>
      </c>
      <c r="U631" s="10">
        <v>55975.37</v>
      </c>
      <c r="V631" s="10">
        <v>4989.5200000000004</v>
      </c>
      <c r="W631" s="10">
        <v>3724.93</v>
      </c>
      <c r="X631" s="10">
        <v>2940.75</v>
      </c>
      <c r="Y631" s="9">
        <v>4460251</v>
      </c>
    </row>
    <row r="632" spans="1:25" ht="16.05" customHeight="1" x14ac:dyDescent="0.3">
      <c r="A632" s="2">
        <v>2129</v>
      </c>
      <c r="B632" s="2">
        <v>31</v>
      </c>
      <c r="C632" s="2">
        <v>2023</v>
      </c>
      <c r="D632" s="3" t="s">
        <v>30</v>
      </c>
      <c r="E632" s="4">
        <v>349</v>
      </c>
      <c r="F632" s="5">
        <v>5844372.4299999997</v>
      </c>
      <c r="G632" s="5">
        <v>836329.7</v>
      </c>
      <c r="H632" s="6">
        <v>14.31</v>
      </c>
      <c r="I632" s="6">
        <v>17.87</v>
      </c>
      <c r="J632" s="5">
        <v>2625.07</v>
      </c>
      <c r="K632" s="5">
        <v>8495.16</v>
      </c>
      <c r="L632" s="5">
        <v>5826109.4199999999</v>
      </c>
      <c r="M632" s="5">
        <v>5836962.25</v>
      </c>
      <c r="N632" s="5">
        <v>18263.009999999998</v>
      </c>
      <c r="O632" s="5">
        <v>5840349.5700000003</v>
      </c>
      <c r="P632" s="5">
        <v>5835530.3899999997</v>
      </c>
      <c r="Q632" s="5">
        <v>4819.18</v>
      </c>
      <c r="R632" s="5">
        <v>1044389.35</v>
      </c>
      <c r="S632" s="5">
        <v>-208059.66</v>
      </c>
      <c r="T632" s="5">
        <v>97391.06</v>
      </c>
      <c r="U632" s="5">
        <v>10879.12</v>
      </c>
      <c r="V632" s="5">
        <v>7710.37</v>
      </c>
      <c r="W632" s="5">
        <v>6529.78</v>
      </c>
      <c r="X632" s="5">
        <v>3422.05</v>
      </c>
      <c r="Y632" s="4">
        <v>3635727</v>
      </c>
    </row>
    <row r="633" spans="1:25" ht="16.05" customHeight="1" x14ac:dyDescent="0.3">
      <c r="A633" s="7">
        <v>2199</v>
      </c>
      <c r="B633" s="7">
        <v>32</v>
      </c>
      <c r="C633" s="7">
        <v>2023</v>
      </c>
      <c r="D633" s="8" t="s">
        <v>30</v>
      </c>
      <c r="E633" s="9">
        <v>4203</v>
      </c>
      <c r="F633" s="10">
        <v>149008445.30000001</v>
      </c>
      <c r="G633" s="10">
        <v>31112963.370000001</v>
      </c>
      <c r="H633" s="11">
        <v>20.88</v>
      </c>
      <c r="I633" s="11">
        <v>8.42</v>
      </c>
      <c r="J633" s="10">
        <v>11570.11</v>
      </c>
      <c r="K633" s="10">
        <v>5793.05</v>
      </c>
      <c r="L633" s="10">
        <v>148944104.80000001</v>
      </c>
      <c r="M633" s="10">
        <v>149003975.80000001</v>
      </c>
      <c r="N633" s="10">
        <v>64340.43</v>
      </c>
      <c r="O633" s="10">
        <v>148958165.40000001</v>
      </c>
      <c r="P633" s="10">
        <v>148955859.69999999</v>
      </c>
      <c r="Q633" s="10">
        <v>2305.7600000000002</v>
      </c>
      <c r="R633" s="10">
        <v>12546511.09</v>
      </c>
      <c r="S633" s="10">
        <v>18566452.280000001</v>
      </c>
      <c r="T633" s="10">
        <v>51850.58</v>
      </c>
      <c r="U633" s="10">
        <v>6482.84</v>
      </c>
      <c r="V633" s="10">
        <v>7275</v>
      </c>
      <c r="W633" s="10">
        <v>6785.59</v>
      </c>
      <c r="X633" s="10">
        <v>3682.94</v>
      </c>
      <c r="Y633" s="9">
        <v>3085036</v>
      </c>
    </row>
    <row r="634" spans="1:25" ht="16.05" customHeight="1" x14ac:dyDescent="0.3">
      <c r="A634" s="2">
        <v>2269</v>
      </c>
      <c r="B634" s="2">
        <v>33</v>
      </c>
      <c r="C634" s="2">
        <v>2023</v>
      </c>
      <c r="D634" s="3" t="s">
        <v>30</v>
      </c>
      <c r="E634" s="4">
        <v>2455</v>
      </c>
      <c r="F634" s="5">
        <v>119591328.7</v>
      </c>
      <c r="G634" s="5">
        <v>19445550.039999999</v>
      </c>
      <c r="H634" s="6">
        <v>16.260000000000002</v>
      </c>
      <c r="I634" s="6">
        <v>16.46</v>
      </c>
      <c r="J634" s="5">
        <v>6922.12</v>
      </c>
      <c r="K634" s="5">
        <v>11094.33</v>
      </c>
      <c r="L634" s="5">
        <v>119518529.09999999</v>
      </c>
      <c r="M634" s="5">
        <v>119578273.5</v>
      </c>
      <c r="N634" s="5">
        <v>72799.59</v>
      </c>
      <c r="O634" s="5">
        <v>119529995.7</v>
      </c>
      <c r="P634" s="5">
        <v>119524915.59999999</v>
      </c>
      <c r="Q634" s="5">
        <v>5080.08</v>
      </c>
      <c r="R634" s="5">
        <v>19684732.699999999</v>
      </c>
      <c r="S634" s="5">
        <v>-239182.66</v>
      </c>
      <c r="T634" s="5">
        <v>87445.03</v>
      </c>
      <c r="U634" s="5">
        <v>45173.78</v>
      </c>
      <c r="V634" s="5">
        <v>4206.21</v>
      </c>
      <c r="W634" s="5">
        <v>7260.39</v>
      </c>
      <c r="X634" s="5">
        <v>3415.3</v>
      </c>
      <c r="Y634" s="4">
        <v>3949227</v>
      </c>
    </row>
    <row r="635" spans="1:25" ht="16.05" customHeight="1" x14ac:dyDescent="0.3">
      <c r="A635" s="7">
        <v>2339</v>
      </c>
      <c r="B635" s="7">
        <v>34</v>
      </c>
      <c r="C635" s="7">
        <v>2023</v>
      </c>
      <c r="D635" s="8" t="s">
        <v>30</v>
      </c>
      <c r="E635" s="9">
        <v>6562</v>
      </c>
      <c r="F635" s="10">
        <v>223441260.09999999</v>
      </c>
      <c r="G635" s="10">
        <v>54072784.950000003</v>
      </c>
      <c r="H635" s="11">
        <v>24.2</v>
      </c>
      <c r="I635" s="11">
        <v>18.989999999999998</v>
      </c>
      <c r="J635" s="10">
        <v>5470.95</v>
      </c>
      <c r="K635" s="10">
        <v>4939.7299999999996</v>
      </c>
      <c r="L635" s="10">
        <v>223366760.19999999</v>
      </c>
      <c r="M635" s="10">
        <v>223418876.80000001</v>
      </c>
      <c r="N635" s="10">
        <v>74499.899999999994</v>
      </c>
      <c r="O635" s="10">
        <v>223380323</v>
      </c>
      <c r="P635" s="10">
        <v>223373481</v>
      </c>
      <c r="Q635" s="10">
        <v>6841.96</v>
      </c>
      <c r="R635" s="10">
        <v>42431495.299999997</v>
      </c>
      <c r="S635" s="10">
        <v>11641289.65</v>
      </c>
      <c r="T635" s="10">
        <v>112427.54</v>
      </c>
      <c r="U635" s="10">
        <v>24590.82</v>
      </c>
      <c r="V635" s="10">
        <v>10237.89</v>
      </c>
      <c r="W635" s="10">
        <v>3324.87</v>
      </c>
      <c r="X635" s="10">
        <v>3736.31</v>
      </c>
      <c r="Y635" s="9">
        <v>3753165</v>
      </c>
    </row>
    <row r="636" spans="1:25" ht="16.05" customHeight="1" x14ac:dyDescent="0.3">
      <c r="A636" s="2">
        <v>2409</v>
      </c>
      <c r="B636" s="2">
        <v>35</v>
      </c>
      <c r="C636" s="2">
        <v>2023</v>
      </c>
      <c r="D636" s="3" t="s">
        <v>30</v>
      </c>
      <c r="E636" s="4">
        <v>3825</v>
      </c>
      <c r="F636" s="5">
        <v>126521857.2</v>
      </c>
      <c r="G636" s="5">
        <v>12550968.24</v>
      </c>
      <c r="H636" s="6">
        <v>9.92</v>
      </c>
      <c r="I636" s="6">
        <v>5.65</v>
      </c>
      <c r="J636" s="5">
        <v>13934.61</v>
      </c>
      <c r="K636" s="5">
        <v>7644.76</v>
      </c>
      <c r="L636" s="5">
        <v>126461944.2</v>
      </c>
      <c r="M636" s="5">
        <v>126509176.2</v>
      </c>
      <c r="N636" s="5">
        <v>59913.07</v>
      </c>
      <c r="O636" s="5">
        <v>126475691.90000001</v>
      </c>
      <c r="P636" s="5">
        <v>126467866.09999999</v>
      </c>
      <c r="Q636" s="5">
        <v>7825.75</v>
      </c>
      <c r="R636" s="5">
        <v>7148484.9299999997</v>
      </c>
      <c r="S636" s="5">
        <v>5402483.2999999998</v>
      </c>
      <c r="T636" s="5">
        <v>113129.22</v>
      </c>
      <c r="U636" s="5">
        <v>38468.83</v>
      </c>
      <c r="V636" s="5">
        <v>7830.7</v>
      </c>
      <c r="W636" s="5">
        <v>5917.03</v>
      </c>
      <c r="X636" s="5">
        <v>4918.43</v>
      </c>
      <c r="Y636" s="4">
        <v>1904525</v>
      </c>
    </row>
    <row r="637" spans="1:25" ht="16.05" customHeight="1" x14ac:dyDescent="0.3">
      <c r="A637" s="7">
        <v>2479</v>
      </c>
      <c r="B637" s="7">
        <v>36</v>
      </c>
      <c r="C637" s="7">
        <v>2023</v>
      </c>
      <c r="D637" s="8" t="s">
        <v>30</v>
      </c>
      <c r="E637" s="9">
        <v>6163</v>
      </c>
      <c r="F637" s="10">
        <v>210128046.19999999</v>
      </c>
      <c r="G637" s="10">
        <v>61273338.280000001</v>
      </c>
      <c r="H637" s="11">
        <v>29.16</v>
      </c>
      <c r="I637" s="11">
        <v>16.29</v>
      </c>
      <c r="J637" s="10">
        <v>6888.62</v>
      </c>
      <c r="K637" s="10">
        <v>5098.01</v>
      </c>
      <c r="L637" s="10">
        <v>210114606.69999999</v>
      </c>
      <c r="M637" s="10">
        <v>210122334.80000001</v>
      </c>
      <c r="N637" s="10">
        <v>13439.49</v>
      </c>
      <c r="O637" s="10">
        <v>210127650.80000001</v>
      </c>
      <c r="P637" s="10">
        <v>210120678</v>
      </c>
      <c r="Q637" s="10">
        <v>6972.79</v>
      </c>
      <c r="R637" s="10">
        <v>34229858.729999997</v>
      </c>
      <c r="S637" s="10">
        <v>27043479.550000001</v>
      </c>
      <c r="T637" s="10">
        <v>27429.09</v>
      </c>
      <c r="U637" s="10">
        <v>41040.25</v>
      </c>
      <c r="V637" s="10">
        <v>5976.07</v>
      </c>
      <c r="W637" s="10">
        <v>7068.02</v>
      </c>
      <c r="X637" s="10">
        <v>4301.84</v>
      </c>
      <c r="Y637" s="9">
        <v>4712373</v>
      </c>
    </row>
    <row r="638" spans="1:25" ht="16.05" customHeight="1" x14ac:dyDescent="0.3">
      <c r="A638" s="2">
        <v>2549</v>
      </c>
      <c r="B638" s="2">
        <v>37</v>
      </c>
      <c r="C638" s="2">
        <v>2023</v>
      </c>
      <c r="D638" s="3" t="s">
        <v>30</v>
      </c>
      <c r="E638" s="4">
        <v>214</v>
      </c>
      <c r="F638" s="5">
        <v>7803388.9100000001</v>
      </c>
      <c r="G638" s="5">
        <v>1613740.83</v>
      </c>
      <c r="H638" s="6">
        <v>20.68</v>
      </c>
      <c r="I638" s="6">
        <v>6.54</v>
      </c>
      <c r="J638" s="5">
        <v>5303.51</v>
      </c>
      <c r="K638" s="5">
        <v>5478.72</v>
      </c>
      <c r="L638" s="5">
        <v>7737647.1399999997</v>
      </c>
      <c r="M638" s="5">
        <v>7791913.6699999999</v>
      </c>
      <c r="N638" s="5">
        <v>65741.77</v>
      </c>
      <c r="O638" s="5">
        <v>7751163.8399999999</v>
      </c>
      <c r="P638" s="5">
        <v>7749655.71</v>
      </c>
      <c r="Q638" s="5">
        <v>1508.13</v>
      </c>
      <c r="R638" s="5">
        <v>510341.64</v>
      </c>
      <c r="S638" s="5">
        <v>1103399.19</v>
      </c>
      <c r="T638" s="5">
        <v>63740.04</v>
      </c>
      <c r="U638" s="5">
        <v>49221.22</v>
      </c>
      <c r="V638" s="5">
        <v>11864.96</v>
      </c>
      <c r="W638" s="5">
        <v>1651.74</v>
      </c>
      <c r="X638" s="5">
        <v>1860.44</v>
      </c>
      <c r="Y638" s="4">
        <v>2662774</v>
      </c>
    </row>
    <row r="639" spans="1:25" ht="16.05" customHeight="1" x14ac:dyDescent="0.3">
      <c r="A639" s="7">
        <v>2619</v>
      </c>
      <c r="B639" s="7">
        <v>38</v>
      </c>
      <c r="C639" s="7">
        <v>2023</v>
      </c>
      <c r="D639" s="8" t="s">
        <v>30</v>
      </c>
      <c r="E639" s="9">
        <v>152</v>
      </c>
      <c r="F639" s="10">
        <v>1801402.38</v>
      </c>
      <c r="G639" s="10">
        <v>234362.45</v>
      </c>
      <c r="H639" s="11">
        <v>13.01</v>
      </c>
      <c r="I639" s="11">
        <v>14.98</v>
      </c>
      <c r="J639" s="10">
        <v>2451.83</v>
      </c>
      <c r="K639" s="10">
        <v>18793.93</v>
      </c>
      <c r="L639" s="10">
        <v>1731117.54</v>
      </c>
      <c r="M639" s="10">
        <v>1777669.93</v>
      </c>
      <c r="N639" s="10">
        <v>70284.84</v>
      </c>
      <c r="O639" s="10">
        <v>1736542.3</v>
      </c>
      <c r="P639" s="10">
        <v>1730175.64</v>
      </c>
      <c r="Q639" s="10">
        <v>6366.66</v>
      </c>
      <c r="R639" s="10">
        <v>269850.08</v>
      </c>
      <c r="S639" s="10">
        <v>-35487.629999999997</v>
      </c>
      <c r="T639" s="10">
        <v>44665.39</v>
      </c>
      <c r="U639" s="10">
        <v>42532.4</v>
      </c>
      <c r="V639" s="10">
        <v>1514.34</v>
      </c>
      <c r="W639" s="10">
        <v>3910.42</v>
      </c>
      <c r="X639" s="10">
        <v>4517.01</v>
      </c>
      <c r="Y639" s="9">
        <v>1922946</v>
      </c>
    </row>
    <row r="640" spans="1:25" ht="16.05" customHeight="1" x14ac:dyDescent="0.3">
      <c r="A640" s="2">
        <v>2689</v>
      </c>
      <c r="B640" s="2">
        <v>39</v>
      </c>
      <c r="C640" s="2">
        <v>2023</v>
      </c>
      <c r="D640" s="3" t="s">
        <v>30</v>
      </c>
      <c r="E640" s="4">
        <v>2261</v>
      </c>
      <c r="F640" s="5">
        <v>98016805.390000001</v>
      </c>
      <c r="G640" s="5">
        <v>19289707.300000001</v>
      </c>
      <c r="H640" s="6">
        <v>19.68</v>
      </c>
      <c r="I640" s="6">
        <v>5.77</v>
      </c>
      <c r="J640" s="5">
        <v>9242.5400000000009</v>
      </c>
      <c r="K640" s="5">
        <v>10249.26</v>
      </c>
      <c r="L640" s="5">
        <v>97950497.689999998</v>
      </c>
      <c r="M640" s="5">
        <v>97998023.849999994</v>
      </c>
      <c r="N640" s="5">
        <v>66307.7</v>
      </c>
      <c r="O640" s="5">
        <v>97963419.939999998</v>
      </c>
      <c r="P640" s="5">
        <v>97952163.510000005</v>
      </c>
      <c r="Q640" s="5">
        <v>11256.43</v>
      </c>
      <c r="R640" s="5">
        <v>5655569.6699999999</v>
      </c>
      <c r="S640" s="5">
        <v>13634137.630000001</v>
      </c>
      <c r="T640" s="5">
        <v>33774.04</v>
      </c>
      <c r="U640" s="5">
        <v>32616.48</v>
      </c>
      <c r="V640" s="5">
        <v>10479</v>
      </c>
      <c r="W640" s="5">
        <v>2443.25</v>
      </c>
      <c r="X640" s="5">
        <v>2087.17</v>
      </c>
      <c r="Y640" s="4">
        <v>3491557</v>
      </c>
    </row>
    <row r="641" spans="1:25" ht="16.05" customHeight="1" x14ac:dyDescent="0.3">
      <c r="A641" s="7">
        <v>2759</v>
      </c>
      <c r="B641" s="7">
        <v>40</v>
      </c>
      <c r="C641" s="7">
        <v>2023</v>
      </c>
      <c r="D641" s="8" t="s">
        <v>30</v>
      </c>
      <c r="E641" s="9">
        <v>1145</v>
      </c>
      <c r="F641" s="10">
        <v>38392642.829999998</v>
      </c>
      <c r="G641" s="10">
        <v>9521375.4199999999</v>
      </c>
      <c r="H641" s="11">
        <v>24.8</v>
      </c>
      <c r="I641" s="11">
        <v>8.59</v>
      </c>
      <c r="J641" s="10">
        <v>11260.32</v>
      </c>
      <c r="K641" s="10">
        <v>17839</v>
      </c>
      <c r="L641" s="10">
        <v>38306255.960000001</v>
      </c>
      <c r="M641" s="10">
        <v>38369759.950000003</v>
      </c>
      <c r="N641" s="10">
        <v>86386.87</v>
      </c>
      <c r="O641" s="10">
        <v>38317500.799999997</v>
      </c>
      <c r="P641" s="10">
        <v>38315714.579999998</v>
      </c>
      <c r="Q641" s="10">
        <v>1786.22</v>
      </c>
      <c r="R641" s="10">
        <v>3297928.02</v>
      </c>
      <c r="S641" s="10">
        <v>6223447.4000000004</v>
      </c>
      <c r="T641" s="10">
        <v>31472.13</v>
      </c>
      <c r="U641" s="10">
        <v>42966.34</v>
      </c>
      <c r="V641" s="10">
        <v>7891.4</v>
      </c>
      <c r="W641" s="10">
        <v>3353.44</v>
      </c>
      <c r="X641" s="10">
        <v>3618.9</v>
      </c>
      <c r="Y641" s="9">
        <v>2660012</v>
      </c>
    </row>
    <row r="642" spans="1:25" ht="16.05" customHeight="1" x14ac:dyDescent="0.3">
      <c r="A642" s="2">
        <v>2829</v>
      </c>
      <c r="B642" s="2">
        <v>41</v>
      </c>
      <c r="C642" s="2">
        <v>2023</v>
      </c>
      <c r="D642" s="3" t="s">
        <v>30</v>
      </c>
      <c r="E642" s="4">
        <v>3528</v>
      </c>
      <c r="F642" s="5">
        <v>182142988.80000001</v>
      </c>
      <c r="G642" s="5">
        <v>44788960.939999998</v>
      </c>
      <c r="H642" s="6">
        <v>24.59</v>
      </c>
      <c r="I642" s="6">
        <v>14.85</v>
      </c>
      <c r="J642" s="5">
        <v>9902.9500000000007</v>
      </c>
      <c r="K642" s="5">
        <v>13512.67</v>
      </c>
      <c r="L642" s="5">
        <v>182103061.40000001</v>
      </c>
      <c r="M642" s="5">
        <v>182116652.19999999</v>
      </c>
      <c r="N642" s="5">
        <v>39927.39</v>
      </c>
      <c r="O642" s="5">
        <v>182117828.30000001</v>
      </c>
      <c r="P642" s="5">
        <v>182109534.69999999</v>
      </c>
      <c r="Q642" s="5">
        <v>8293.58</v>
      </c>
      <c r="R642" s="5">
        <v>27048233.829999998</v>
      </c>
      <c r="S642" s="5">
        <v>17740727.109999999</v>
      </c>
      <c r="T642" s="5">
        <v>88759.61</v>
      </c>
      <c r="U642" s="5">
        <v>47869.23</v>
      </c>
      <c r="V642" s="5">
        <v>8224.23</v>
      </c>
      <c r="W642" s="5">
        <v>6542.68</v>
      </c>
      <c r="X642" s="5">
        <v>2686.68</v>
      </c>
      <c r="Y642" s="4">
        <v>3604037</v>
      </c>
    </row>
    <row r="643" spans="1:25" ht="16.05" customHeight="1" x14ac:dyDescent="0.3">
      <c r="A643" s="7">
        <v>2899</v>
      </c>
      <c r="B643" s="7">
        <v>42</v>
      </c>
      <c r="C643" s="7">
        <v>2023</v>
      </c>
      <c r="D643" s="8" t="s">
        <v>30</v>
      </c>
      <c r="E643" s="9">
        <v>1665</v>
      </c>
      <c r="F643" s="10">
        <v>50250892.009999998</v>
      </c>
      <c r="G643" s="10">
        <v>6989899.0800000001</v>
      </c>
      <c r="H643" s="11">
        <v>13.91</v>
      </c>
      <c r="I643" s="11">
        <v>5.9</v>
      </c>
      <c r="J643" s="10">
        <v>1702.88</v>
      </c>
      <c r="K643" s="10">
        <v>19989.27</v>
      </c>
      <c r="L643" s="10">
        <v>50154979.539999999</v>
      </c>
      <c r="M643" s="10">
        <v>50228536.259999998</v>
      </c>
      <c r="N643" s="10">
        <v>95912.47</v>
      </c>
      <c r="O643" s="10">
        <v>50166253.469999999</v>
      </c>
      <c r="P643" s="10">
        <v>50163204.990000002</v>
      </c>
      <c r="Q643" s="10">
        <v>3048.48</v>
      </c>
      <c r="R643" s="10">
        <v>2964802.63</v>
      </c>
      <c r="S643" s="10">
        <v>4025096.45</v>
      </c>
      <c r="T643" s="10">
        <v>42084.33</v>
      </c>
      <c r="U643" s="10">
        <v>12543.39</v>
      </c>
      <c r="V643" s="10">
        <v>9136.7900000000009</v>
      </c>
      <c r="W643" s="10">
        <v>2137.14</v>
      </c>
      <c r="X643" s="10">
        <v>2668.41</v>
      </c>
      <c r="Y643" s="9">
        <v>2452243</v>
      </c>
    </row>
    <row r="644" spans="1:25" ht="16.05" customHeight="1" x14ac:dyDescent="0.3">
      <c r="A644" s="2">
        <v>2969</v>
      </c>
      <c r="B644" s="2">
        <v>43</v>
      </c>
      <c r="C644" s="2">
        <v>2023</v>
      </c>
      <c r="D644" s="3" t="s">
        <v>30</v>
      </c>
      <c r="E644" s="4">
        <v>4298</v>
      </c>
      <c r="F644" s="5">
        <v>168901902.90000001</v>
      </c>
      <c r="G644" s="5">
        <v>34928913.509999998</v>
      </c>
      <c r="H644" s="6">
        <v>20.68</v>
      </c>
      <c r="I644" s="6">
        <v>8.25</v>
      </c>
      <c r="J644" s="5">
        <v>9570.11</v>
      </c>
      <c r="K644" s="5">
        <v>11503.63</v>
      </c>
      <c r="L644" s="5">
        <v>168872396</v>
      </c>
      <c r="M644" s="5">
        <v>168877561.30000001</v>
      </c>
      <c r="N644" s="5">
        <v>29506.83</v>
      </c>
      <c r="O644" s="5">
        <v>168878532.59999999</v>
      </c>
      <c r="P644" s="5">
        <v>168875797.40000001</v>
      </c>
      <c r="Q644" s="5">
        <v>2735.19</v>
      </c>
      <c r="R644" s="5">
        <v>13934406.99</v>
      </c>
      <c r="S644" s="5">
        <v>20994506.530000001</v>
      </c>
      <c r="T644" s="5">
        <v>22458.66</v>
      </c>
      <c r="U644" s="5">
        <v>54927.13</v>
      </c>
      <c r="V644" s="5">
        <v>3984.94</v>
      </c>
      <c r="W644" s="5">
        <v>2151.59</v>
      </c>
      <c r="X644" s="5">
        <v>4422.1000000000004</v>
      </c>
      <c r="Y644" s="4">
        <v>4627863</v>
      </c>
    </row>
    <row r="645" spans="1:25" ht="16.05" customHeight="1" x14ac:dyDescent="0.3">
      <c r="A645" s="7">
        <v>3039</v>
      </c>
      <c r="B645" s="7">
        <v>44</v>
      </c>
      <c r="C645" s="7">
        <v>2023</v>
      </c>
      <c r="D645" s="8" t="s">
        <v>30</v>
      </c>
      <c r="E645" s="9">
        <v>3707</v>
      </c>
      <c r="F645" s="10">
        <v>98342137.530000001</v>
      </c>
      <c r="G645" s="10">
        <v>13335193.85</v>
      </c>
      <c r="H645" s="11">
        <v>13.56</v>
      </c>
      <c r="I645" s="11">
        <v>8.1</v>
      </c>
      <c r="J645" s="10">
        <v>7751.44</v>
      </c>
      <c r="K645" s="10">
        <v>19093.63</v>
      </c>
      <c r="L645" s="10">
        <v>98287816.359999999</v>
      </c>
      <c r="M645" s="10">
        <v>98332704.269999996</v>
      </c>
      <c r="N645" s="10">
        <v>54321.17</v>
      </c>
      <c r="O645" s="10">
        <v>98301367.859999999</v>
      </c>
      <c r="P645" s="10">
        <v>98287291</v>
      </c>
      <c r="Q645" s="10">
        <v>14076.86</v>
      </c>
      <c r="R645" s="10">
        <v>7965713.1399999997</v>
      </c>
      <c r="S645" s="10">
        <v>5369480.71</v>
      </c>
      <c r="T645" s="10">
        <v>91147.58</v>
      </c>
      <c r="U645" s="10">
        <v>36516.300000000003</v>
      </c>
      <c r="V645" s="10">
        <v>6717.92</v>
      </c>
      <c r="W645" s="10">
        <v>6833.58</v>
      </c>
      <c r="X645" s="10">
        <v>3578.88</v>
      </c>
      <c r="Y645" s="9">
        <v>3336680</v>
      </c>
    </row>
    <row r="646" spans="1:25" ht="16.05" customHeight="1" x14ac:dyDescent="0.3">
      <c r="A646" s="2">
        <v>3109</v>
      </c>
      <c r="B646" s="2">
        <v>45</v>
      </c>
      <c r="C646" s="2">
        <v>2023</v>
      </c>
      <c r="D646" s="3" t="s">
        <v>30</v>
      </c>
      <c r="E646" s="4">
        <v>6360</v>
      </c>
      <c r="F646" s="5">
        <v>53447288.609999999</v>
      </c>
      <c r="G646" s="5">
        <v>6082301.4400000004</v>
      </c>
      <c r="H646" s="6">
        <v>11.38</v>
      </c>
      <c r="I646" s="6">
        <v>12.73</v>
      </c>
      <c r="J646" s="5">
        <v>6425.42</v>
      </c>
      <c r="K646" s="5">
        <v>17138.669999999998</v>
      </c>
      <c r="L646" s="5">
        <v>53365836.689999998</v>
      </c>
      <c r="M646" s="5">
        <v>53430458.670000002</v>
      </c>
      <c r="N646" s="5">
        <v>81451.92</v>
      </c>
      <c r="O646" s="5">
        <v>53377269.490000002</v>
      </c>
      <c r="P646" s="5">
        <v>53373694.549999997</v>
      </c>
      <c r="Q646" s="5">
        <v>3574.94</v>
      </c>
      <c r="R646" s="5">
        <v>6803839.8399999999</v>
      </c>
      <c r="S646" s="5">
        <v>-721538.4</v>
      </c>
      <c r="T646" s="5">
        <v>25850.959999999999</v>
      </c>
      <c r="U646" s="5">
        <v>28451.68</v>
      </c>
      <c r="V646" s="5">
        <v>10703.36</v>
      </c>
      <c r="W646" s="5">
        <v>729.44</v>
      </c>
      <c r="X646" s="5">
        <v>3204.79</v>
      </c>
      <c r="Y646" s="4">
        <v>2710167</v>
      </c>
    </row>
    <row r="647" spans="1:25" ht="16.05" customHeight="1" x14ac:dyDescent="0.3">
      <c r="A647" s="7">
        <v>3179</v>
      </c>
      <c r="B647" s="7">
        <v>46</v>
      </c>
      <c r="C647" s="7">
        <v>2023</v>
      </c>
      <c r="D647" s="8" t="s">
        <v>30</v>
      </c>
      <c r="E647" s="9">
        <v>5473</v>
      </c>
      <c r="F647" s="10">
        <v>105654901.3</v>
      </c>
      <c r="G647" s="10">
        <v>10671145.029999999</v>
      </c>
      <c r="H647" s="11">
        <v>10.1</v>
      </c>
      <c r="I647" s="11">
        <v>7.53</v>
      </c>
      <c r="J647" s="10">
        <v>12812.48</v>
      </c>
      <c r="K647" s="10">
        <v>9959.75</v>
      </c>
      <c r="L647" s="10">
        <v>105623053.09999999</v>
      </c>
      <c r="M647" s="10">
        <v>105645571.7</v>
      </c>
      <c r="N647" s="10">
        <v>31848.240000000002</v>
      </c>
      <c r="O647" s="10">
        <v>105634419.5</v>
      </c>
      <c r="P647" s="10">
        <v>105624494.2</v>
      </c>
      <c r="Q647" s="10">
        <v>9925.2999999999993</v>
      </c>
      <c r="R647" s="10">
        <v>7955814.0700000003</v>
      </c>
      <c r="S647" s="10">
        <v>2715330.96</v>
      </c>
      <c r="T647" s="10">
        <v>97897.61</v>
      </c>
      <c r="U647" s="10">
        <v>18377.259999999998</v>
      </c>
      <c r="V647" s="10">
        <v>4358.01</v>
      </c>
      <c r="W647" s="10">
        <v>7008.36</v>
      </c>
      <c r="X647" s="10">
        <v>4481.8100000000004</v>
      </c>
      <c r="Y647" s="9">
        <v>2145641</v>
      </c>
    </row>
    <row r="648" spans="1:25" ht="16.05" customHeight="1" x14ac:dyDescent="0.3">
      <c r="A648" s="2">
        <v>3249</v>
      </c>
      <c r="B648" s="2">
        <v>47</v>
      </c>
      <c r="C648" s="2">
        <v>2023</v>
      </c>
      <c r="D648" s="3" t="s">
        <v>30</v>
      </c>
      <c r="E648" s="4">
        <v>4786</v>
      </c>
      <c r="F648" s="5">
        <v>90664740.439999998</v>
      </c>
      <c r="G648" s="5">
        <v>13617844.01</v>
      </c>
      <c r="H648" s="6">
        <v>15.02</v>
      </c>
      <c r="I648" s="6">
        <v>15.87</v>
      </c>
      <c r="J648" s="5">
        <v>14119.52</v>
      </c>
      <c r="K648" s="5">
        <v>12942.71</v>
      </c>
      <c r="L648" s="5">
        <v>90581770.780000001</v>
      </c>
      <c r="M648" s="5">
        <v>90657900.510000005</v>
      </c>
      <c r="N648" s="5">
        <v>82969.66</v>
      </c>
      <c r="O648" s="5">
        <v>90598941.430000007</v>
      </c>
      <c r="P648" s="5">
        <v>90589506.640000001</v>
      </c>
      <c r="Q648" s="5">
        <v>9434.7900000000009</v>
      </c>
      <c r="R648" s="5">
        <v>14388494.310000001</v>
      </c>
      <c r="S648" s="5">
        <v>-770650.29</v>
      </c>
      <c r="T648" s="5">
        <v>20209.39</v>
      </c>
      <c r="U648" s="5">
        <v>30824.959999999999</v>
      </c>
      <c r="V648" s="5">
        <v>10439.799999999999</v>
      </c>
      <c r="W648" s="5">
        <v>6730.85</v>
      </c>
      <c r="X648" s="5">
        <v>3422.85</v>
      </c>
      <c r="Y648" s="4">
        <v>1768206</v>
      </c>
    </row>
    <row r="649" spans="1:25" ht="16.05" customHeight="1" x14ac:dyDescent="0.3">
      <c r="A649" s="7">
        <v>3319</v>
      </c>
      <c r="B649" s="7">
        <v>48</v>
      </c>
      <c r="C649" s="7">
        <v>2023</v>
      </c>
      <c r="D649" s="8" t="s">
        <v>30</v>
      </c>
      <c r="E649" s="9">
        <v>251</v>
      </c>
      <c r="F649" s="10">
        <v>7539784.21</v>
      </c>
      <c r="G649" s="10">
        <v>1299104.82</v>
      </c>
      <c r="H649" s="11">
        <v>17.23</v>
      </c>
      <c r="I649" s="11">
        <v>15.95</v>
      </c>
      <c r="J649" s="10">
        <v>13564.48</v>
      </c>
      <c r="K649" s="10">
        <v>11803.66</v>
      </c>
      <c r="L649" s="10">
        <v>7458507.25</v>
      </c>
      <c r="M649" s="10">
        <v>7536400.9000000004</v>
      </c>
      <c r="N649" s="10">
        <v>81276.960000000006</v>
      </c>
      <c r="O649" s="10">
        <v>7464799.4699999997</v>
      </c>
      <c r="P649" s="10">
        <v>7454601</v>
      </c>
      <c r="Q649" s="10">
        <v>10198.469999999999</v>
      </c>
      <c r="R649" s="10">
        <v>1202595.58</v>
      </c>
      <c r="S649" s="10">
        <v>96509.24</v>
      </c>
      <c r="T649" s="10">
        <v>95937.75</v>
      </c>
      <c r="U649" s="10">
        <v>53022.26</v>
      </c>
      <c r="V649" s="10">
        <v>1019.47</v>
      </c>
      <c r="W649" s="10">
        <v>5272.75</v>
      </c>
      <c r="X649" s="10">
        <v>4732.09</v>
      </c>
      <c r="Y649" s="9">
        <v>3762771</v>
      </c>
    </row>
    <row r="650" spans="1:25" ht="16.05" customHeight="1" x14ac:dyDescent="0.3">
      <c r="A650" s="2">
        <v>3389</v>
      </c>
      <c r="B650" s="2">
        <v>49</v>
      </c>
      <c r="C650" s="2">
        <v>2023</v>
      </c>
      <c r="D650" s="3" t="s">
        <v>30</v>
      </c>
      <c r="E650" s="4">
        <v>3314</v>
      </c>
      <c r="F650" s="5">
        <v>90650264.269999996</v>
      </c>
      <c r="G650" s="5">
        <v>21701673.27</v>
      </c>
      <c r="H650" s="6">
        <v>23.94</v>
      </c>
      <c r="I650" s="6">
        <v>14.23</v>
      </c>
      <c r="J650" s="5">
        <v>2242.25</v>
      </c>
      <c r="K650" s="5">
        <v>10129.24</v>
      </c>
      <c r="L650" s="5">
        <v>90618006.030000001</v>
      </c>
      <c r="M650" s="5">
        <v>90628390.769999996</v>
      </c>
      <c r="N650" s="5">
        <v>32258.240000000002</v>
      </c>
      <c r="O650" s="5">
        <v>90632122.260000005</v>
      </c>
      <c r="P650" s="5">
        <v>90618474.219999999</v>
      </c>
      <c r="Q650" s="5">
        <v>13648.04</v>
      </c>
      <c r="R650" s="5">
        <v>12899532.609999999</v>
      </c>
      <c r="S650" s="5">
        <v>8802140.6600000001</v>
      </c>
      <c r="T650" s="5">
        <v>107403.08</v>
      </c>
      <c r="U650" s="5">
        <v>19187.05</v>
      </c>
      <c r="V650" s="5">
        <v>9209.7900000000009</v>
      </c>
      <c r="W650" s="5">
        <v>4906.4399999999996</v>
      </c>
      <c r="X650" s="5">
        <v>1810.53</v>
      </c>
      <c r="Y650" s="4">
        <v>4839132</v>
      </c>
    </row>
    <row r="651" spans="1:25" ht="16.05" customHeight="1" x14ac:dyDescent="0.3">
      <c r="A651" s="7">
        <v>3459</v>
      </c>
      <c r="B651" s="7">
        <v>50</v>
      </c>
      <c r="C651" s="7">
        <v>2023</v>
      </c>
      <c r="D651" s="8" t="s">
        <v>30</v>
      </c>
      <c r="E651" s="9">
        <v>4955</v>
      </c>
      <c r="F651" s="10">
        <v>189492832.90000001</v>
      </c>
      <c r="G651" s="10">
        <v>17016456.390000001</v>
      </c>
      <c r="H651" s="11">
        <v>8.98</v>
      </c>
      <c r="I651" s="11">
        <v>8.27</v>
      </c>
      <c r="J651" s="10">
        <v>6456.42</v>
      </c>
      <c r="K651" s="10">
        <v>14342.82</v>
      </c>
      <c r="L651" s="10">
        <v>189480203.40000001</v>
      </c>
      <c r="M651" s="10">
        <v>189480725.19999999</v>
      </c>
      <c r="N651" s="10">
        <v>12629.48</v>
      </c>
      <c r="O651" s="10">
        <v>189494261.5</v>
      </c>
      <c r="P651" s="10">
        <v>189482038.09999999</v>
      </c>
      <c r="Q651" s="10">
        <v>12223.4</v>
      </c>
      <c r="R651" s="10">
        <v>15671057.279999999</v>
      </c>
      <c r="S651" s="10">
        <v>1345399.11</v>
      </c>
      <c r="T651" s="10">
        <v>105723.89</v>
      </c>
      <c r="U651" s="10">
        <v>45489.37</v>
      </c>
      <c r="V651" s="10">
        <v>10450.709999999999</v>
      </c>
      <c r="W651" s="10">
        <v>3607.38</v>
      </c>
      <c r="X651" s="10">
        <v>2711.57</v>
      </c>
      <c r="Y651" s="9">
        <v>3533900</v>
      </c>
    </row>
    <row r="652" spans="1:25" ht="16.05" customHeight="1" x14ac:dyDescent="0.3">
      <c r="A652" s="2">
        <v>19</v>
      </c>
      <c r="B652" s="2">
        <v>1</v>
      </c>
      <c r="C652" s="2">
        <v>2023</v>
      </c>
      <c r="D652" s="3" t="s">
        <v>31</v>
      </c>
      <c r="E652" s="4">
        <v>4892</v>
      </c>
      <c r="F652" s="5">
        <v>234971680.40000001</v>
      </c>
      <c r="G652" s="5">
        <v>37971423.549999997</v>
      </c>
      <c r="H652" s="6">
        <v>16.16</v>
      </c>
      <c r="I652" s="6">
        <v>11.3</v>
      </c>
      <c r="J652" s="5">
        <v>9317.24</v>
      </c>
      <c r="K652" s="5">
        <v>9593.5499999999993</v>
      </c>
      <c r="L652" s="5">
        <v>234902947.30000001</v>
      </c>
      <c r="M652" s="5">
        <v>234959161</v>
      </c>
      <c r="N652" s="5">
        <v>68733.09</v>
      </c>
      <c r="O652" s="5">
        <v>234917726.40000001</v>
      </c>
      <c r="P652" s="5">
        <v>234908836.59999999</v>
      </c>
      <c r="Q652" s="5">
        <v>8889.89</v>
      </c>
      <c r="R652" s="5">
        <v>26551799.879999999</v>
      </c>
      <c r="S652" s="5">
        <v>11419623.67</v>
      </c>
      <c r="T652" s="5">
        <v>101947.9</v>
      </c>
      <c r="U652" s="5">
        <v>41195.14</v>
      </c>
      <c r="V652" s="5">
        <v>7049.07</v>
      </c>
      <c r="W652" s="5">
        <v>7730.1</v>
      </c>
      <c r="X652" s="5">
        <v>3054.83</v>
      </c>
      <c r="Y652" s="4">
        <v>2636642</v>
      </c>
    </row>
    <row r="653" spans="1:25" ht="16.05" customHeight="1" x14ac:dyDescent="0.3">
      <c r="A653" s="7">
        <v>89</v>
      </c>
      <c r="B653" s="7">
        <v>2</v>
      </c>
      <c r="C653" s="7">
        <v>2023</v>
      </c>
      <c r="D653" s="8" t="s">
        <v>31</v>
      </c>
      <c r="E653" s="9">
        <v>6103</v>
      </c>
      <c r="F653" s="10">
        <v>92117735.480000004</v>
      </c>
      <c r="G653" s="10">
        <v>15484991.33</v>
      </c>
      <c r="H653" s="11">
        <v>16.809999999999999</v>
      </c>
      <c r="I653" s="11">
        <v>7.57</v>
      </c>
      <c r="J653" s="10">
        <v>3795.59</v>
      </c>
      <c r="K653" s="10">
        <v>11393.88</v>
      </c>
      <c r="L653" s="10">
        <v>92085613.069999993</v>
      </c>
      <c r="M653" s="10">
        <v>92101488.609999999</v>
      </c>
      <c r="N653" s="10">
        <v>32122.41</v>
      </c>
      <c r="O653" s="10">
        <v>92099517.959999993</v>
      </c>
      <c r="P653" s="10">
        <v>92098290.760000005</v>
      </c>
      <c r="Q653" s="10">
        <v>1227.2</v>
      </c>
      <c r="R653" s="10">
        <v>6973312.5800000001</v>
      </c>
      <c r="S653" s="10">
        <v>8511678.7599999998</v>
      </c>
      <c r="T653" s="10">
        <v>87759.74</v>
      </c>
      <c r="U653" s="10">
        <v>56483.1</v>
      </c>
      <c r="V653" s="10">
        <v>11769.72</v>
      </c>
      <c r="W653" s="10">
        <v>2135.17</v>
      </c>
      <c r="X653" s="10">
        <v>1899.87</v>
      </c>
      <c r="Y653" s="9">
        <v>4920317</v>
      </c>
    </row>
    <row r="654" spans="1:25" ht="16.05" customHeight="1" x14ac:dyDescent="0.3">
      <c r="A654" s="2">
        <v>159</v>
      </c>
      <c r="B654" s="2">
        <v>3</v>
      </c>
      <c r="C654" s="2">
        <v>2023</v>
      </c>
      <c r="D654" s="3" t="s">
        <v>31</v>
      </c>
      <c r="E654" s="4">
        <v>6233</v>
      </c>
      <c r="F654" s="5">
        <v>354883858.69999999</v>
      </c>
      <c r="G654" s="5">
        <v>20476798.649999999</v>
      </c>
      <c r="H654" s="6">
        <v>5.77</v>
      </c>
      <c r="I654" s="6">
        <v>13.81</v>
      </c>
      <c r="J654" s="5">
        <v>11310.11</v>
      </c>
      <c r="K654" s="5">
        <v>12666.22</v>
      </c>
      <c r="L654" s="5">
        <v>354815883.60000002</v>
      </c>
      <c r="M654" s="5">
        <v>354862115.19999999</v>
      </c>
      <c r="N654" s="5">
        <v>67975.08</v>
      </c>
      <c r="O654" s="5">
        <v>354829395.19999999</v>
      </c>
      <c r="P654" s="5">
        <v>354822058.5</v>
      </c>
      <c r="Q654" s="5">
        <v>7336.68</v>
      </c>
      <c r="R654" s="5">
        <v>49009460.880000003</v>
      </c>
      <c r="S654" s="5">
        <v>-28532662.239999998</v>
      </c>
      <c r="T654" s="5">
        <v>10510.01</v>
      </c>
      <c r="U654" s="5">
        <v>47334.49</v>
      </c>
      <c r="V654" s="5">
        <v>11743.96</v>
      </c>
      <c r="W654" s="5">
        <v>1767.65</v>
      </c>
      <c r="X654" s="5">
        <v>2016.19</v>
      </c>
      <c r="Y654" s="4">
        <v>4562473</v>
      </c>
    </row>
    <row r="655" spans="1:25" ht="16.05" customHeight="1" x14ac:dyDescent="0.3">
      <c r="A655" s="7">
        <v>229</v>
      </c>
      <c r="B655" s="7">
        <v>4</v>
      </c>
      <c r="C655" s="7">
        <v>2023</v>
      </c>
      <c r="D655" s="8" t="s">
        <v>31</v>
      </c>
      <c r="E655" s="9">
        <v>3052</v>
      </c>
      <c r="F655" s="10">
        <v>117744031.8</v>
      </c>
      <c r="G655" s="10">
        <v>19969387.789999999</v>
      </c>
      <c r="H655" s="11">
        <v>16.96</v>
      </c>
      <c r="I655" s="11">
        <v>6.55</v>
      </c>
      <c r="J655" s="10">
        <v>1029.71</v>
      </c>
      <c r="K655" s="10">
        <v>7091.69</v>
      </c>
      <c r="L655" s="10">
        <v>117682215.59999999</v>
      </c>
      <c r="M655" s="10">
        <v>117727011.8</v>
      </c>
      <c r="N655" s="10">
        <v>61816.17</v>
      </c>
      <c r="O655" s="10">
        <v>117697868</v>
      </c>
      <c r="P655" s="10">
        <v>117690638.5</v>
      </c>
      <c r="Q655" s="10">
        <v>7229.45</v>
      </c>
      <c r="R655" s="10">
        <v>7712234.0800000001</v>
      </c>
      <c r="S655" s="10">
        <v>12257153.710000001</v>
      </c>
      <c r="T655" s="10">
        <v>101517.06</v>
      </c>
      <c r="U655" s="10">
        <v>17853.04</v>
      </c>
      <c r="V655" s="10">
        <v>9932.7199999999993</v>
      </c>
      <c r="W655" s="10">
        <v>5719.65</v>
      </c>
      <c r="X655" s="10">
        <v>1440.01</v>
      </c>
      <c r="Y655" s="9">
        <v>3065825</v>
      </c>
    </row>
    <row r="656" spans="1:25" ht="16.05" customHeight="1" x14ac:dyDescent="0.3">
      <c r="A656" s="2">
        <v>299</v>
      </c>
      <c r="B656" s="2">
        <v>5</v>
      </c>
      <c r="C656" s="2">
        <v>2023</v>
      </c>
      <c r="D656" s="3" t="s">
        <v>31</v>
      </c>
      <c r="E656" s="4">
        <v>2161</v>
      </c>
      <c r="F656" s="5">
        <v>31874653.18</v>
      </c>
      <c r="G656" s="5">
        <v>3528524.11</v>
      </c>
      <c r="H656" s="6">
        <v>11.07</v>
      </c>
      <c r="I656" s="6">
        <v>5.05</v>
      </c>
      <c r="J656" s="5">
        <v>14249.9</v>
      </c>
      <c r="K656" s="5">
        <v>6055.89</v>
      </c>
      <c r="L656" s="5">
        <v>31799211.59</v>
      </c>
      <c r="M656" s="5">
        <v>31866628.59</v>
      </c>
      <c r="N656" s="5">
        <v>75441.59</v>
      </c>
      <c r="O656" s="5">
        <v>31810754.120000001</v>
      </c>
      <c r="P656" s="5">
        <v>31802754.91</v>
      </c>
      <c r="Q656" s="5">
        <v>7999.21</v>
      </c>
      <c r="R656" s="5">
        <v>1609669.99</v>
      </c>
      <c r="S656" s="5">
        <v>1918854.12</v>
      </c>
      <c r="T656" s="5">
        <v>15122.61</v>
      </c>
      <c r="U656" s="5">
        <v>25917.58</v>
      </c>
      <c r="V656" s="5">
        <v>5559.21</v>
      </c>
      <c r="W656" s="5">
        <v>5983.32</v>
      </c>
      <c r="X656" s="5">
        <v>1338.03</v>
      </c>
      <c r="Y656" s="4">
        <v>3838794</v>
      </c>
    </row>
    <row r="657" spans="1:25" ht="16.05" customHeight="1" x14ac:dyDescent="0.3">
      <c r="A657" s="7">
        <v>369</v>
      </c>
      <c r="B657" s="7">
        <v>6</v>
      </c>
      <c r="C657" s="7">
        <v>2023</v>
      </c>
      <c r="D657" s="8" t="s">
        <v>31</v>
      </c>
      <c r="E657" s="9">
        <v>3234</v>
      </c>
      <c r="F657" s="10">
        <v>108524615.5</v>
      </c>
      <c r="G657" s="10">
        <v>5513050.4699999997</v>
      </c>
      <c r="H657" s="11">
        <v>5.08</v>
      </c>
      <c r="I657" s="11">
        <v>11.3</v>
      </c>
      <c r="J657" s="10">
        <v>13441.27</v>
      </c>
      <c r="K657" s="10">
        <v>12799.68</v>
      </c>
      <c r="L657" s="10">
        <v>108506709.8</v>
      </c>
      <c r="M657" s="10">
        <v>108505667.09999999</v>
      </c>
      <c r="N657" s="10">
        <v>17905.78</v>
      </c>
      <c r="O657" s="10">
        <v>108517599.90000001</v>
      </c>
      <c r="P657" s="10">
        <v>108505613.90000001</v>
      </c>
      <c r="Q657" s="10">
        <v>11985.95</v>
      </c>
      <c r="R657" s="10">
        <v>12263281.560000001</v>
      </c>
      <c r="S657" s="10">
        <v>-6750231.0899999999</v>
      </c>
      <c r="T657" s="10">
        <v>103379.41</v>
      </c>
      <c r="U657" s="10">
        <v>8564.25</v>
      </c>
      <c r="V657" s="10">
        <v>3226.91</v>
      </c>
      <c r="W657" s="10">
        <v>7663.21</v>
      </c>
      <c r="X657" s="10">
        <v>3157.87</v>
      </c>
      <c r="Y657" s="9">
        <v>1284434</v>
      </c>
    </row>
    <row r="658" spans="1:25" ht="16.05" customHeight="1" x14ac:dyDescent="0.3">
      <c r="A658" s="2">
        <v>439</v>
      </c>
      <c r="B658" s="2">
        <v>7</v>
      </c>
      <c r="C658" s="2">
        <v>2023</v>
      </c>
      <c r="D658" s="3" t="s">
        <v>31</v>
      </c>
      <c r="E658" s="4">
        <v>4023</v>
      </c>
      <c r="F658" s="5">
        <v>47016974.810000002</v>
      </c>
      <c r="G658" s="5">
        <v>10353137.85</v>
      </c>
      <c r="H658" s="6">
        <v>22.02</v>
      </c>
      <c r="I658" s="6">
        <v>16.940000000000001</v>
      </c>
      <c r="J658" s="5">
        <v>5826.83</v>
      </c>
      <c r="K658" s="5">
        <v>17795.38</v>
      </c>
      <c r="L658" s="5">
        <v>46971306.350000001</v>
      </c>
      <c r="M658" s="5">
        <v>47002024.420000002</v>
      </c>
      <c r="N658" s="5">
        <v>45668.46</v>
      </c>
      <c r="O658" s="5">
        <v>46985044.25</v>
      </c>
      <c r="P658" s="5">
        <v>46976104.439999998</v>
      </c>
      <c r="Q658" s="5">
        <v>8939.81</v>
      </c>
      <c r="R658" s="5">
        <v>7964675.5300000003</v>
      </c>
      <c r="S658" s="5">
        <v>2388462.3199999998</v>
      </c>
      <c r="T658" s="5">
        <v>15579.67</v>
      </c>
      <c r="U658" s="5">
        <v>46974.43</v>
      </c>
      <c r="V658" s="5">
        <v>7365.75</v>
      </c>
      <c r="W658" s="5">
        <v>6372.15</v>
      </c>
      <c r="X658" s="5">
        <v>4695.01</v>
      </c>
      <c r="Y658" s="4">
        <v>2401372</v>
      </c>
    </row>
    <row r="659" spans="1:25" ht="16.05" customHeight="1" x14ac:dyDescent="0.3">
      <c r="A659" s="7">
        <v>509</v>
      </c>
      <c r="B659" s="7">
        <v>8</v>
      </c>
      <c r="C659" s="7">
        <v>2023</v>
      </c>
      <c r="D659" s="8" t="s">
        <v>31</v>
      </c>
      <c r="E659" s="9">
        <v>5434</v>
      </c>
      <c r="F659" s="10">
        <v>106664547.09999999</v>
      </c>
      <c r="G659" s="10">
        <v>17962309.73</v>
      </c>
      <c r="H659" s="11">
        <v>16.84</v>
      </c>
      <c r="I659" s="11">
        <v>6.38</v>
      </c>
      <c r="J659" s="10">
        <v>4750.49</v>
      </c>
      <c r="K659" s="10">
        <v>2743.98</v>
      </c>
      <c r="L659" s="10">
        <v>106571714.59999999</v>
      </c>
      <c r="M659" s="10">
        <v>106650809.3</v>
      </c>
      <c r="N659" s="10">
        <v>92832.54</v>
      </c>
      <c r="O659" s="10">
        <v>106581843.59999999</v>
      </c>
      <c r="P659" s="10">
        <v>106579046.40000001</v>
      </c>
      <c r="Q659" s="10">
        <v>2797.21</v>
      </c>
      <c r="R659" s="10">
        <v>6805198.1100000003</v>
      </c>
      <c r="S659" s="10">
        <v>11157111.630000001</v>
      </c>
      <c r="T659" s="10">
        <v>84027.9</v>
      </c>
      <c r="U659" s="10">
        <v>31542.400000000001</v>
      </c>
      <c r="V659" s="10">
        <v>4454.74</v>
      </c>
      <c r="W659" s="10">
        <v>5674.26</v>
      </c>
      <c r="X659" s="10">
        <v>2206.4</v>
      </c>
      <c r="Y659" s="9">
        <v>2022104</v>
      </c>
    </row>
    <row r="660" spans="1:25" ht="16.05" customHeight="1" x14ac:dyDescent="0.3">
      <c r="A660" s="2">
        <v>579</v>
      </c>
      <c r="B660" s="2">
        <v>9</v>
      </c>
      <c r="C660" s="2">
        <v>2023</v>
      </c>
      <c r="D660" s="3" t="s">
        <v>31</v>
      </c>
      <c r="E660" s="4">
        <v>300</v>
      </c>
      <c r="F660" s="5">
        <v>9714903.8599999994</v>
      </c>
      <c r="G660" s="5">
        <v>2315061.59</v>
      </c>
      <c r="H660" s="6">
        <v>23.83</v>
      </c>
      <c r="I660" s="6">
        <v>18.84</v>
      </c>
      <c r="J660" s="5">
        <v>9361.35</v>
      </c>
      <c r="K660" s="5">
        <v>16739.72</v>
      </c>
      <c r="L660" s="5">
        <v>9630756.3399999999</v>
      </c>
      <c r="M660" s="5">
        <v>9696888.4399999995</v>
      </c>
      <c r="N660" s="5">
        <v>84147.520000000004</v>
      </c>
      <c r="O660" s="5">
        <v>9641761.1500000004</v>
      </c>
      <c r="P660" s="5">
        <v>9632679.1400000006</v>
      </c>
      <c r="Q660" s="5">
        <v>9082.01</v>
      </c>
      <c r="R660" s="5">
        <v>1830287.89</v>
      </c>
      <c r="S660" s="5">
        <v>484773.7</v>
      </c>
      <c r="T660" s="5">
        <v>51803.93</v>
      </c>
      <c r="U660" s="5">
        <v>9947.11</v>
      </c>
      <c r="V660" s="5">
        <v>6362.08</v>
      </c>
      <c r="W660" s="5">
        <v>4642.7299999999996</v>
      </c>
      <c r="X660" s="5">
        <v>2381.17</v>
      </c>
      <c r="Y660" s="4">
        <v>2196296</v>
      </c>
    </row>
    <row r="661" spans="1:25" ht="16.05" customHeight="1" x14ac:dyDescent="0.3">
      <c r="A661" s="7">
        <v>649</v>
      </c>
      <c r="B661" s="7">
        <v>10</v>
      </c>
      <c r="C661" s="7">
        <v>2023</v>
      </c>
      <c r="D661" s="8" t="s">
        <v>31</v>
      </c>
      <c r="E661" s="9">
        <v>3265</v>
      </c>
      <c r="F661" s="10">
        <v>106805921.8</v>
      </c>
      <c r="G661" s="10">
        <v>25013946.879999999</v>
      </c>
      <c r="H661" s="11">
        <v>23.42</v>
      </c>
      <c r="I661" s="11">
        <v>7.7</v>
      </c>
      <c r="J661" s="10">
        <v>12093.52</v>
      </c>
      <c r="K661" s="10">
        <v>12022.48</v>
      </c>
      <c r="L661" s="10">
        <v>106795249.7</v>
      </c>
      <c r="M661" s="10">
        <v>106793163.8</v>
      </c>
      <c r="N661" s="10">
        <v>10672.11</v>
      </c>
      <c r="O661" s="10">
        <v>106810649.7</v>
      </c>
      <c r="P661" s="10">
        <v>106796058.3</v>
      </c>
      <c r="Q661" s="10">
        <v>14591.31</v>
      </c>
      <c r="R661" s="10">
        <v>8224055.9800000004</v>
      </c>
      <c r="S661" s="10">
        <v>16789890.91</v>
      </c>
      <c r="T661" s="10">
        <v>25351.69</v>
      </c>
      <c r="U661" s="10">
        <v>19738.64</v>
      </c>
      <c r="V661" s="10">
        <v>9933.14</v>
      </c>
      <c r="W661" s="10">
        <v>5466.83</v>
      </c>
      <c r="X661" s="10">
        <v>2099.48</v>
      </c>
      <c r="Y661" s="9">
        <v>2408807</v>
      </c>
    </row>
    <row r="662" spans="1:25" ht="16.05" customHeight="1" x14ac:dyDescent="0.3">
      <c r="A662" s="2">
        <v>719</v>
      </c>
      <c r="B662" s="2">
        <v>11</v>
      </c>
      <c r="C662" s="2">
        <v>2023</v>
      </c>
      <c r="D662" s="3" t="s">
        <v>31</v>
      </c>
      <c r="E662" s="4">
        <v>219</v>
      </c>
      <c r="F662" s="5">
        <v>2858891.35</v>
      </c>
      <c r="G662" s="5">
        <v>309903.82</v>
      </c>
      <c r="H662" s="6">
        <v>10.84</v>
      </c>
      <c r="I662" s="6">
        <v>9.17</v>
      </c>
      <c r="J662" s="5">
        <v>8695.77</v>
      </c>
      <c r="K662" s="5">
        <v>5566.06</v>
      </c>
      <c r="L662" s="5">
        <v>2799007.52</v>
      </c>
      <c r="M662" s="5">
        <v>2852282.29</v>
      </c>
      <c r="N662" s="5">
        <v>59883.83</v>
      </c>
      <c r="O662" s="5">
        <v>2814059.16</v>
      </c>
      <c r="P662" s="5">
        <v>2806002.41</v>
      </c>
      <c r="Q662" s="5">
        <v>8056.75</v>
      </c>
      <c r="R662" s="5">
        <v>262160.34000000003</v>
      </c>
      <c r="S662" s="5">
        <v>47743.49</v>
      </c>
      <c r="T662" s="5">
        <v>64414.05</v>
      </c>
      <c r="U662" s="5">
        <v>24378.720000000001</v>
      </c>
      <c r="V662" s="5">
        <v>7864.31</v>
      </c>
      <c r="W662" s="5">
        <v>7187.33</v>
      </c>
      <c r="X662" s="5">
        <v>2517.56</v>
      </c>
      <c r="Y662" s="4">
        <v>2342184</v>
      </c>
    </row>
    <row r="663" spans="1:25" ht="16.05" customHeight="1" x14ac:dyDescent="0.3">
      <c r="A663" s="7">
        <v>789</v>
      </c>
      <c r="B663" s="7">
        <v>12</v>
      </c>
      <c r="C663" s="7">
        <v>2023</v>
      </c>
      <c r="D663" s="8" t="s">
        <v>31</v>
      </c>
      <c r="E663" s="9">
        <v>780</v>
      </c>
      <c r="F663" s="10">
        <v>27202777.149999999</v>
      </c>
      <c r="G663" s="10">
        <v>3087515.21</v>
      </c>
      <c r="H663" s="11">
        <v>11.35</v>
      </c>
      <c r="I663" s="11">
        <v>17.75</v>
      </c>
      <c r="J663" s="10">
        <v>14448.58</v>
      </c>
      <c r="K663" s="10">
        <v>2012.78</v>
      </c>
      <c r="L663" s="10">
        <v>27116978.109999999</v>
      </c>
      <c r="M663" s="10">
        <v>27195056.390000001</v>
      </c>
      <c r="N663" s="10">
        <v>85799.039999999994</v>
      </c>
      <c r="O663" s="10">
        <v>27133741.300000001</v>
      </c>
      <c r="P663" s="10">
        <v>27127324.399999999</v>
      </c>
      <c r="Q663" s="10">
        <v>6416.9</v>
      </c>
      <c r="R663" s="10">
        <v>4828492.9400000004</v>
      </c>
      <c r="S663" s="10">
        <v>-1740977.74</v>
      </c>
      <c r="T663" s="10">
        <v>87036.83</v>
      </c>
      <c r="U663" s="10">
        <v>48336.42</v>
      </c>
      <c r="V663" s="10">
        <v>11775.59</v>
      </c>
      <c r="W663" s="10">
        <v>4987.6000000000004</v>
      </c>
      <c r="X663" s="10">
        <v>4635.26</v>
      </c>
      <c r="Y663" s="9">
        <v>1353363</v>
      </c>
    </row>
    <row r="664" spans="1:25" ht="16.05" customHeight="1" x14ac:dyDescent="0.3">
      <c r="A664" s="2">
        <v>859</v>
      </c>
      <c r="B664" s="2">
        <v>13</v>
      </c>
      <c r="C664" s="2">
        <v>2023</v>
      </c>
      <c r="D664" s="3" t="s">
        <v>31</v>
      </c>
      <c r="E664" s="4">
        <v>143</v>
      </c>
      <c r="F664" s="5">
        <v>4582328.4000000004</v>
      </c>
      <c r="G664" s="5">
        <v>644733.61</v>
      </c>
      <c r="H664" s="6">
        <v>14.07</v>
      </c>
      <c r="I664" s="6">
        <v>6.23</v>
      </c>
      <c r="J664" s="5">
        <v>13347.06</v>
      </c>
      <c r="K664" s="5">
        <v>6563.81</v>
      </c>
      <c r="L664" s="5">
        <v>4493127.32</v>
      </c>
      <c r="M664" s="5">
        <v>4573986.1900000004</v>
      </c>
      <c r="N664" s="5">
        <v>89201.08</v>
      </c>
      <c r="O664" s="5">
        <v>4508353.54</v>
      </c>
      <c r="P664" s="5">
        <v>4502132.57</v>
      </c>
      <c r="Q664" s="5">
        <v>6220.97</v>
      </c>
      <c r="R664" s="5">
        <v>285479.06</v>
      </c>
      <c r="S664" s="5">
        <v>359254.55</v>
      </c>
      <c r="T664" s="5">
        <v>62718.6</v>
      </c>
      <c r="U664" s="5">
        <v>45501.38</v>
      </c>
      <c r="V664" s="5">
        <v>11070.51</v>
      </c>
      <c r="W664" s="5">
        <v>4155.71</v>
      </c>
      <c r="X664" s="5">
        <v>2804.15</v>
      </c>
      <c r="Y664" s="4">
        <v>1483323</v>
      </c>
    </row>
    <row r="665" spans="1:25" ht="16.05" customHeight="1" x14ac:dyDescent="0.3">
      <c r="A665" s="7">
        <v>929</v>
      </c>
      <c r="B665" s="7">
        <v>14</v>
      </c>
      <c r="C665" s="7">
        <v>2023</v>
      </c>
      <c r="D665" s="8" t="s">
        <v>31</v>
      </c>
      <c r="E665" s="9">
        <v>5660</v>
      </c>
      <c r="F665" s="10">
        <v>316288837.5</v>
      </c>
      <c r="G665" s="10">
        <v>39093300.310000002</v>
      </c>
      <c r="H665" s="11">
        <v>12.36</v>
      </c>
      <c r="I665" s="11">
        <v>5.97</v>
      </c>
      <c r="J665" s="10">
        <v>12084.56</v>
      </c>
      <c r="K665" s="10">
        <v>16043.73</v>
      </c>
      <c r="L665" s="10">
        <v>316214486.80000001</v>
      </c>
      <c r="M665" s="10">
        <v>316274511.10000002</v>
      </c>
      <c r="N665" s="10">
        <v>74350.66</v>
      </c>
      <c r="O665" s="10">
        <v>316223098.69999999</v>
      </c>
      <c r="P665" s="10">
        <v>316211724.89999998</v>
      </c>
      <c r="Q665" s="10">
        <v>11373.84</v>
      </c>
      <c r="R665" s="10">
        <v>18882443.600000001</v>
      </c>
      <c r="S665" s="10">
        <v>20210856.710000001</v>
      </c>
      <c r="T665" s="10">
        <v>54678.62</v>
      </c>
      <c r="U665" s="10">
        <v>27769.39</v>
      </c>
      <c r="V665" s="10">
        <v>2479.5</v>
      </c>
      <c r="W665" s="10">
        <v>6132.39</v>
      </c>
      <c r="X665" s="10">
        <v>3070.33</v>
      </c>
      <c r="Y665" s="9">
        <v>4384938</v>
      </c>
    </row>
    <row r="666" spans="1:25" ht="16.05" customHeight="1" x14ac:dyDescent="0.3">
      <c r="A666" s="2">
        <v>999</v>
      </c>
      <c r="B666" s="2">
        <v>15</v>
      </c>
      <c r="C666" s="2">
        <v>2023</v>
      </c>
      <c r="D666" s="3" t="s">
        <v>31</v>
      </c>
      <c r="E666" s="4">
        <v>3376</v>
      </c>
      <c r="F666" s="5">
        <v>100817433.2</v>
      </c>
      <c r="G666" s="5">
        <v>24801088.57</v>
      </c>
      <c r="H666" s="6">
        <v>24.6</v>
      </c>
      <c r="I666" s="6">
        <v>10.85</v>
      </c>
      <c r="J666" s="5">
        <v>12577.41</v>
      </c>
      <c r="K666" s="5">
        <v>13702.34</v>
      </c>
      <c r="L666" s="5">
        <v>100751446.59999999</v>
      </c>
      <c r="M666" s="5">
        <v>100794755</v>
      </c>
      <c r="N666" s="5">
        <v>65986.62</v>
      </c>
      <c r="O666" s="5">
        <v>100756723.90000001</v>
      </c>
      <c r="P666" s="5">
        <v>100748144.40000001</v>
      </c>
      <c r="Q666" s="5">
        <v>8579.49</v>
      </c>
      <c r="R666" s="5">
        <v>10938691.5</v>
      </c>
      <c r="S666" s="5">
        <v>13862397.07</v>
      </c>
      <c r="T666" s="5">
        <v>44993.97</v>
      </c>
      <c r="U666" s="5">
        <v>23749.87</v>
      </c>
      <c r="V666" s="5">
        <v>4653.84</v>
      </c>
      <c r="W666" s="5">
        <v>623.42999999999995</v>
      </c>
      <c r="X666" s="5">
        <v>1687.25</v>
      </c>
      <c r="Y666" s="4">
        <v>2026541</v>
      </c>
    </row>
    <row r="667" spans="1:25" ht="16.05" customHeight="1" x14ac:dyDescent="0.3">
      <c r="A667" s="7">
        <v>1069</v>
      </c>
      <c r="B667" s="7">
        <v>16</v>
      </c>
      <c r="C667" s="7">
        <v>2023</v>
      </c>
      <c r="D667" s="8" t="s">
        <v>31</v>
      </c>
      <c r="E667" s="9">
        <v>5576</v>
      </c>
      <c r="F667" s="10">
        <v>185317355.09999999</v>
      </c>
      <c r="G667" s="10">
        <v>41566682.740000002</v>
      </c>
      <c r="H667" s="11">
        <v>22.43</v>
      </c>
      <c r="I667" s="11">
        <v>7.41</v>
      </c>
      <c r="J667" s="10">
        <v>1349.3</v>
      </c>
      <c r="K667" s="10">
        <v>15326.63</v>
      </c>
      <c r="L667" s="10">
        <v>185270575.09999999</v>
      </c>
      <c r="M667" s="10">
        <v>185302598.90000001</v>
      </c>
      <c r="N667" s="10">
        <v>46780.01</v>
      </c>
      <c r="O667" s="10">
        <v>185288347</v>
      </c>
      <c r="P667" s="10">
        <v>185273837.90000001</v>
      </c>
      <c r="Q667" s="10">
        <v>14509.1</v>
      </c>
      <c r="R667" s="10">
        <v>13732016.01</v>
      </c>
      <c r="S667" s="10">
        <v>27834666.73</v>
      </c>
      <c r="T667" s="10">
        <v>66823.899999999994</v>
      </c>
      <c r="U667" s="10">
        <v>6895.37</v>
      </c>
      <c r="V667" s="10">
        <v>10955.3</v>
      </c>
      <c r="W667" s="10">
        <v>6816.61</v>
      </c>
      <c r="X667" s="10">
        <v>2523.13</v>
      </c>
      <c r="Y667" s="9">
        <v>1938612</v>
      </c>
    </row>
    <row r="668" spans="1:25" ht="16.05" customHeight="1" x14ac:dyDescent="0.3">
      <c r="A668" s="2">
        <v>1139</v>
      </c>
      <c r="B668" s="2">
        <v>17</v>
      </c>
      <c r="C668" s="2">
        <v>2023</v>
      </c>
      <c r="D668" s="3" t="s">
        <v>31</v>
      </c>
      <c r="E668" s="4">
        <v>3628</v>
      </c>
      <c r="F668" s="5">
        <v>117337950.40000001</v>
      </c>
      <c r="G668" s="5">
        <v>14280028.560000001</v>
      </c>
      <c r="H668" s="6">
        <v>12.17</v>
      </c>
      <c r="I668" s="6">
        <v>14.55</v>
      </c>
      <c r="J668" s="5">
        <v>2164.42</v>
      </c>
      <c r="K668" s="5">
        <v>3615.45</v>
      </c>
      <c r="L668" s="5">
        <v>117272736.40000001</v>
      </c>
      <c r="M668" s="5">
        <v>117318173.40000001</v>
      </c>
      <c r="N668" s="5">
        <v>65213.96</v>
      </c>
      <c r="O668" s="5">
        <v>117282774.3</v>
      </c>
      <c r="P668" s="5">
        <v>117274093.2</v>
      </c>
      <c r="Q668" s="5">
        <v>8681.11</v>
      </c>
      <c r="R668" s="5">
        <v>17072671.780000001</v>
      </c>
      <c r="S668" s="5">
        <v>-2792643.22</v>
      </c>
      <c r="T668" s="5">
        <v>12895.68</v>
      </c>
      <c r="U668" s="5">
        <v>41531.11</v>
      </c>
      <c r="V668" s="5">
        <v>5066.63</v>
      </c>
      <c r="W668" s="5">
        <v>4971.2700000000004</v>
      </c>
      <c r="X668" s="5">
        <v>3128.33</v>
      </c>
      <c r="Y668" s="4">
        <v>2389415</v>
      </c>
    </row>
    <row r="669" spans="1:25" ht="16.05" customHeight="1" x14ac:dyDescent="0.3">
      <c r="A669" s="7">
        <v>1209</v>
      </c>
      <c r="B669" s="7">
        <v>18</v>
      </c>
      <c r="C669" s="7">
        <v>2023</v>
      </c>
      <c r="D669" s="8" t="s">
        <v>31</v>
      </c>
      <c r="E669" s="9">
        <v>4131</v>
      </c>
      <c r="F669" s="10">
        <v>75281604.060000002</v>
      </c>
      <c r="G669" s="10">
        <v>16908248.27</v>
      </c>
      <c r="H669" s="11">
        <v>22.46</v>
      </c>
      <c r="I669" s="11">
        <v>9.2200000000000006</v>
      </c>
      <c r="J669" s="10">
        <v>2556.1999999999998</v>
      </c>
      <c r="K669" s="10">
        <v>14828.94</v>
      </c>
      <c r="L669" s="10">
        <v>75265567.310000002</v>
      </c>
      <c r="M669" s="10">
        <v>75269692.319999993</v>
      </c>
      <c r="N669" s="10">
        <v>16036.75</v>
      </c>
      <c r="O669" s="10">
        <v>75276266.25</v>
      </c>
      <c r="P669" s="10">
        <v>75272184.069999993</v>
      </c>
      <c r="Q669" s="10">
        <v>4082.18</v>
      </c>
      <c r="R669" s="10">
        <v>6940963.8899999997</v>
      </c>
      <c r="S669" s="10">
        <v>9967284.3800000008</v>
      </c>
      <c r="T669" s="10">
        <v>117549.66</v>
      </c>
      <c r="U669" s="10">
        <v>10048.17</v>
      </c>
      <c r="V669" s="10">
        <v>6842.32</v>
      </c>
      <c r="W669" s="10">
        <v>3856.62</v>
      </c>
      <c r="X669" s="10">
        <v>3663.76</v>
      </c>
      <c r="Y669" s="9">
        <v>2998161</v>
      </c>
    </row>
    <row r="670" spans="1:25" ht="16.05" customHeight="1" x14ac:dyDescent="0.3">
      <c r="A670" s="2">
        <v>1279</v>
      </c>
      <c r="B670" s="2">
        <v>19</v>
      </c>
      <c r="C670" s="2">
        <v>2023</v>
      </c>
      <c r="D670" s="3" t="s">
        <v>31</v>
      </c>
      <c r="E670" s="4">
        <v>2059</v>
      </c>
      <c r="F670" s="5">
        <v>75924895.390000001</v>
      </c>
      <c r="G670" s="5">
        <v>21183045.809999999</v>
      </c>
      <c r="H670" s="6">
        <v>27.9</v>
      </c>
      <c r="I670" s="6">
        <v>17.010000000000002</v>
      </c>
      <c r="J670" s="5">
        <v>8623.3799999999992</v>
      </c>
      <c r="K670" s="5">
        <v>16481.04</v>
      </c>
      <c r="L670" s="5">
        <v>75894913.569999993</v>
      </c>
      <c r="M670" s="5">
        <v>75900187.049999997</v>
      </c>
      <c r="N670" s="5">
        <v>29981.82</v>
      </c>
      <c r="O670" s="5">
        <v>75906785.569999993</v>
      </c>
      <c r="P670" s="5">
        <v>75893284.579999998</v>
      </c>
      <c r="Q670" s="5">
        <v>13500.99</v>
      </c>
      <c r="R670" s="5">
        <v>12914824.710000001</v>
      </c>
      <c r="S670" s="5">
        <v>8268221.1100000003</v>
      </c>
      <c r="T670" s="5">
        <v>38146.14</v>
      </c>
      <c r="U670" s="5">
        <v>30735.54</v>
      </c>
      <c r="V670" s="5">
        <v>4925.34</v>
      </c>
      <c r="W670" s="5">
        <v>6946.66</v>
      </c>
      <c r="X670" s="5">
        <v>3156.62</v>
      </c>
      <c r="Y670" s="4">
        <v>1776877</v>
      </c>
    </row>
    <row r="671" spans="1:25" ht="16.05" customHeight="1" x14ac:dyDescent="0.3">
      <c r="A671" s="7">
        <v>1349</v>
      </c>
      <c r="B671" s="7">
        <v>20</v>
      </c>
      <c r="C671" s="7">
        <v>2023</v>
      </c>
      <c r="D671" s="8" t="s">
        <v>31</v>
      </c>
      <c r="E671" s="9">
        <v>6644</v>
      </c>
      <c r="F671" s="10">
        <v>54887440.359999999</v>
      </c>
      <c r="G671" s="10">
        <v>10664629.66</v>
      </c>
      <c r="H671" s="11">
        <v>19.43</v>
      </c>
      <c r="I671" s="11">
        <v>5.58</v>
      </c>
      <c r="J671" s="10">
        <v>11661.79</v>
      </c>
      <c r="K671" s="10">
        <v>2635.02</v>
      </c>
      <c r="L671" s="10">
        <v>54826264.399999999</v>
      </c>
      <c r="M671" s="10">
        <v>54870685.149999999</v>
      </c>
      <c r="N671" s="10">
        <v>61175.96</v>
      </c>
      <c r="O671" s="10">
        <v>54838969.039999999</v>
      </c>
      <c r="P671" s="10">
        <v>54831835.630000003</v>
      </c>
      <c r="Q671" s="10">
        <v>7133.41</v>
      </c>
      <c r="R671" s="10">
        <v>3062719.17</v>
      </c>
      <c r="S671" s="10">
        <v>7601910.4900000002</v>
      </c>
      <c r="T671" s="10">
        <v>23326.13</v>
      </c>
      <c r="U671" s="10">
        <v>36951.93</v>
      </c>
      <c r="V671" s="10">
        <v>8714.17</v>
      </c>
      <c r="W671" s="10">
        <v>3990.47</v>
      </c>
      <c r="X671" s="10">
        <v>4711.1400000000003</v>
      </c>
      <c r="Y671" s="9">
        <v>4401660</v>
      </c>
    </row>
    <row r="672" spans="1:25" ht="16.05" customHeight="1" x14ac:dyDescent="0.3">
      <c r="A672" s="2">
        <v>1419</v>
      </c>
      <c r="B672" s="2">
        <v>21</v>
      </c>
      <c r="C672" s="2">
        <v>2023</v>
      </c>
      <c r="D672" s="3" t="s">
        <v>31</v>
      </c>
      <c r="E672" s="4">
        <v>6349</v>
      </c>
      <c r="F672" s="5">
        <v>233328806.80000001</v>
      </c>
      <c r="G672" s="5">
        <v>43422490.950000003</v>
      </c>
      <c r="H672" s="6">
        <v>18.61</v>
      </c>
      <c r="I672" s="6">
        <v>14</v>
      </c>
      <c r="J672" s="5">
        <v>12967.36</v>
      </c>
      <c r="K672" s="5">
        <v>7017</v>
      </c>
      <c r="L672" s="5">
        <v>233249614.90000001</v>
      </c>
      <c r="M672" s="5">
        <v>233303420.19999999</v>
      </c>
      <c r="N672" s="5">
        <v>79191.960000000006</v>
      </c>
      <c r="O672" s="5">
        <v>233265840.80000001</v>
      </c>
      <c r="P672" s="5">
        <v>233261967.09999999</v>
      </c>
      <c r="Q672" s="5">
        <v>3873.73</v>
      </c>
      <c r="R672" s="5">
        <v>32666032.949999999</v>
      </c>
      <c r="S672" s="5">
        <v>10756457.99</v>
      </c>
      <c r="T672" s="5">
        <v>85151.96</v>
      </c>
      <c r="U672" s="5">
        <v>14887.14</v>
      </c>
      <c r="V672" s="5">
        <v>10567.91</v>
      </c>
      <c r="W672" s="5">
        <v>5658.03</v>
      </c>
      <c r="X672" s="5">
        <v>4409.33</v>
      </c>
      <c r="Y672" s="4">
        <v>4374261</v>
      </c>
    </row>
    <row r="673" spans="1:25" ht="16.05" customHeight="1" x14ac:dyDescent="0.3">
      <c r="A673" s="7">
        <v>1489</v>
      </c>
      <c r="B673" s="7">
        <v>22</v>
      </c>
      <c r="C673" s="7">
        <v>2023</v>
      </c>
      <c r="D673" s="8" t="s">
        <v>31</v>
      </c>
      <c r="E673" s="9">
        <v>2963</v>
      </c>
      <c r="F673" s="10">
        <v>127489900</v>
      </c>
      <c r="G673" s="10">
        <v>36462111.390000001</v>
      </c>
      <c r="H673" s="11">
        <v>28.6</v>
      </c>
      <c r="I673" s="11">
        <v>7.62</v>
      </c>
      <c r="J673" s="10">
        <v>6679.22</v>
      </c>
      <c r="K673" s="10">
        <v>12581.55</v>
      </c>
      <c r="L673" s="10">
        <v>127455267.09999999</v>
      </c>
      <c r="M673" s="10">
        <v>127472062</v>
      </c>
      <c r="N673" s="10">
        <v>34632.910000000003</v>
      </c>
      <c r="O673" s="10">
        <v>127466903</v>
      </c>
      <c r="P673" s="10">
        <v>127456184.8</v>
      </c>
      <c r="Q673" s="10">
        <v>10718.23</v>
      </c>
      <c r="R673" s="10">
        <v>9714730.3800000008</v>
      </c>
      <c r="S673" s="10">
        <v>26747381.010000002</v>
      </c>
      <c r="T673" s="10">
        <v>11081.6</v>
      </c>
      <c r="U673" s="10">
        <v>12970.71</v>
      </c>
      <c r="V673" s="10">
        <v>7608.57</v>
      </c>
      <c r="W673" s="10">
        <v>4027.37</v>
      </c>
      <c r="X673" s="10">
        <v>1847.32</v>
      </c>
      <c r="Y673" s="9">
        <v>2070982</v>
      </c>
    </row>
    <row r="674" spans="1:25" ht="16.05" customHeight="1" x14ac:dyDescent="0.3">
      <c r="A674" s="2">
        <v>1559</v>
      </c>
      <c r="B674" s="2">
        <v>23</v>
      </c>
      <c r="C674" s="2">
        <v>2023</v>
      </c>
      <c r="D674" s="3" t="s">
        <v>31</v>
      </c>
      <c r="E674" s="4">
        <v>5105</v>
      </c>
      <c r="F674" s="5">
        <v>231995938.69999999</v>
      </c>
      <c r="G674" s="5">
        <v>16958903.120000001</v>
      </c>
      <c r="H674" s="6">
        <v>7.31</v>
      </c>
      <c r="I674" s="6">
        <v>12.19</v>
      </c>
      <c r="J674" s="5">
        <v>3403.86</v>
      </c>
      <c r="K674" s="5">
        <v>6632.58</v>
      </c>
      <c r="L674" s="5">
        <v>231955860.59999999</v>
      </c>
      <c r="M674" s="5">
        <v>231971210.69999999</v>
      </c>
      <c r="N674" s="5">
        <v>40078.18</v>
      </c>
      <c r="O674" s="5">
        <v>231964339.19999999</v>
      </c>
      <c r="P674" s="5">
        <v>231953363.69999999</v>
      </c>
      <c r="Q674" s="5">
        <v>10975.44</v>
      </c>
      <c r="R674" s="5">
        <v>28280304.93</v>
      </c>
      <c r="S674" s="5">
        <v>-11321401.810000001</v>
      </c>
      <c r="T674" s="5">
        <v>118921.60000000001</v>
      </c>
      <c r="U674" s="5">
        <v>28718.34</v>
      </c>
      <c r="V674" s="5">
        <v>2046.26</v>
      </c>
      <c r="W674" s="5">
        <v>6432.35</v>
      </c>
      <c r="X674" s="5">
        <v>3237.12</v>
      </c>
      <c r="Y674" s="4">
        <v>1919205</v>
      </c>
    </row>
    <row r="675" spans="1:25" ht="16.05" customHeight="1" x14ac:dyDescent="0.3">
      <c r="A675" s="7">
        <v>1629</v>
      </c>
      <c r="B675" s="7">
        <v>24</v>
      </c>
      <c r="C675" s="7">
        <v>2023</v>
      </c>
      <c r="D675" s="8" t="s">
        <v>31</v>
      </c>
      <c r="E675" s="9">
        <v>1263</v>
      </c>
      <c r="F675" s="10">
        <v>49084233.200000003</v>
      </c>
      <c r="G675" s="10">
        <v>4353771.49</v>
      </c>
      <c r="H675" s="11">
        <v>8.8699999999999992</v>
      </c>
      <c r="I675" s="11">
        <v>9.8800000000000008</v>
      </c>
      <c r="J675" s="10">
        <v>5416.86</v>
      </c>
      <c r="K675" s="10">
        <v>12200.47</v>
      </c>
      <c r="L675" s="10">
        <v>48993704.219999999</v>
      </c>
      <c r="M675" s="10">
        <v>49069245.350000001</v>
      </c>
      <c r="N675" s="10">
        <v>90528.98</v>
      </c>
      <c r="O675" s="10">
        <v>48999269.189999998</v>
      </c>
      <c r="P675" s="10">
        <v>48996974.890000001</v>
      </c>
      <c r="Q675" s="10">
        <v>2294.3000000000002</v>
      </c>
      <c r="R675" s="10">
        <v>4849522.24</v>
      </c>
      <c r="S675" s="10">
        <v>-495750.76</v>
      </c>
      <c r="T675" s="10">
        <v>73196.37</v>
      </c>
      <c r="U675" s="10">
        <v>19249.53</v>
      </c>
      <c r="V675" s="10">
        <v>2938.25</v>
      </c>
      <c r="W675" s="10">
        <v>2626.72</v>
      </c>
      <c r="X675" s="10">
        <v>3684.1</v>
      </c>
      <c r="Y675" s="9">
        <v>4036250</v>
      </c>
    </row>
    <row r="676" spans="1:25" ht="16.05" customHeight="1" x14ac:dyDescent="0.3">
      <c r="A676" s="2">
        <v>1699</v>
      </c>
      <c r="B676" s="2">
        <v>25</v>
      </c>
      <c r="C676" s="2">
        <v>2023</v>
      </c>
      <c r="D676" s="3" t="s">
        <v>31</v>
      </c>
      <c r="E676" s="4">
        <v>6096</v>
      </c>
      <c r="F676" s="5">
        <v>356455269.19999999</v>
      </c>
      <c r="G676" s="5">
        <v>78776614.489999995</v>
      </c>
      <c r="H676" s="6">
        <v>22.1</v>
      </c>
      <c r="I676" s="6">
        <v>15.39</v>
      </c>
      <c r="J676" s="5">
        <v>4996.17</v>
      </c>
      <c r="K676" s="5">
        <v>3410.43</v>
      </c>
      <c r="L676" s="5">
        <v>356394881.69999999</v>
      </c>
      <c r="M676" s="5">
        <v>356434011.10000002</v>
      </c>
      <c r="N676" s="5">
        <v>60387.49</v>
      </c>
      <c r="O676" s="5">
        <v>356403644.5</v>
      </c>
      <c r="P676" s="5">
        <v>356394491.60000002</v>
      </c>
      <c r="Q676" s="5">
        <v>9152.91</v>
      </c>
      <c r="R676" s="5">
        <v>54858465.93</v>
      </c>
      <c r="S676" s="5">
        <v>23918148.559999999</v>
      </c>
      <c r="T676" s="5">
        <v>60942.87</v>
      </c>
      <c r="U676" s="5">
        <v>38570.519999999997</v>
      </c>
      <c r="V676" s="5">
        <v>3936.15</v>
      </c>
      <c r="W676" s="5">
        <v>4826.66</v>
      </c>
      <c r="X676" s="5">
        <v>2207.4299999999998</v>
      </c>
      <c r="Y676" s="4">
        <v>1035586</v>
      </c>
    </row>
    <row r="677" spans="1:25" ht="16.05" customHeight="1" x14ac:dyDescent="0.3">
      <c r="A677" s="7">
        <v>1769</v>
      </c>
      <c r="B677" s="7">
        <v>26</v>
      </c>
      <c r="C677" s="7">
        <v>2023</v>
      </c>
      <c r="D677" s="8" t="s">
        <v>31</v>
      </c>
      <c r="E677" s="9">
        <v>883</v>
      </c>
      <c r="F677" s="10">
        <v>34425665.609999999</v>
      </c>
      <c r="G677" s="10">
        <v>3012245.74</v>
      </c>
      <c r="H677" s="11">
        <v>8.75</v>
      </c>
      <c r="I677" s="11">
        <v>16.78</v>
      </c>
      <c r="J677" s="10">
        <v>2119.1799999999998</v>
      </c>
      <c r="K677" s="10">
        <v>18123.34</v>
      </c>
      <c r="L677" s="10">
        <v>34328716.899999999</v>
      </c>
      <c r="M677" s="10">
        <v>34409331.270000003</v>
      </c>
      <c r="N677" s="10">
        <v>96948.71</v>
      </c>
      <c r="O677" s="10">
        <v>34333461</v>
      </c>
      <c r="P677" s="10">
        <v>34326475.729999997</v>
      </c>
      <c r="Q677" s="10">
        <v>6985.27</v>
      </c>
      <c r="R677" s="10">
        <v>5776626.6900000004</v>
      </c>
      <c r="S677" s="10">
        <v>-2764380.95</v>
      </c>
      <c r="T677" s="10">
        <v>52869.74</v>
      </c>
      <c r="U677" s="10">
        <v>8729.94</v>
      </c>
      <c r="V677" s="10">
        <v>3132.9</v>
      </c>
      <c r="W677" s="10">
        <v>1611.2</v>
      </c>
      <c r="X677" s="10">
        <v>2747.34</v>
      </c>
      <c r="Y677" s="9">
        <v>1955874</v>
      </c>
    </row>
    <row r="678" spans="1:25" ht="16.05" customHeight="1" x14ac:dyDescent="0.3">
      <c r="A678" s="2">
        <v>1839</v>
      </c>
      <c r="B678" s="2">
        <v>27</v>
      </c>
      <c r="C678" s="2">
        <v>2023</v>
      </c>
      <c r="D678" s="3" t="s">
        <v>31</v>
      </c>
      <c r="E678" s="4">
        <v>4957</v>
      </c>
      <c r="F678" s="5">
        <v>178577710.90000001</v>
      </c>
      <c r="G678" s="5">
        <v>11018244.76</v>
      </c>
      <c r="H678" s="6">
        <v>6.17</v>
      </c>
      <c r="I678" s="6">
        <v>8.6</v>
      </c>
      <c r="J678" s="5">
        <v>13332.34</v>
      </c>
      <c r="K678" s="5">
        <v>19528.88</v>
      </c>
      <c r="L678" s="5">
        <v>178479196.80000001</v>
      </c>
      <c r="M678" s="5">
        <v>178556721.40000001</v>
      </c>
      <c r="N678" s="5">
        <v>98514.08</v>
      </c>
      <c r="O678" s="5">
        <v>178488821.69999999</v>
      </c>
      <c r="P678" s="5">
        <v>178474690.69999999</v>
      </c>
      <c r="Q678" s="5">
        <v>14130.96</v>
      </c>
      <c r="R678" s="5">
        <v>15357683.140000001</v>
      </c>
      <c r="S678" s="5">
        <v>-4339438.38</v>
      </c>
      <c r="T678" s="5">
        <v>39400.129999999997</v>
      </c>
      <c r="U678" s="5">
        <v>56994.05</v>
      </c>
      <c r="V678" s="5">
        <v>3919.23</v>
      </c>
      <c r="W678" s="5">
        <v>5705.59</v>
      </c>
      <c r="X678" s="5">
        <v>1536.9</v>
      </c>
      <c r="Y678" s="4">
        <v>2609922</v>
      </c>
    </row>
    <row r="679" spans="1:25" ht="16.05" customHeight="1" x14ac:dyDescent="0.3">
      <c r="A679" s="7">
        <v>1909</v>
      </c>
      <c r="B679" s="7">
        <v>28</v>
      </c>
      <c r="C679" s="7">
        <v>2023</v>
      </c>
      <c r="D679" s="8" t="s">
        <v>31</v>
      </c>
      <c r="E679" s="9">
        <v>1400</v>
      </c>
      <c r="F679" s="10">
        <v>47518395.219999999</v>
      </c>
      <c r="G679" s="10">
        <v>13875371.4</v>
      </c>
      <c r="H679" s="11">
        <v>29.2</v>
      </c>
      <c r="I679" s="11">
        <v>6.35</v>
      </c>
      <c r="J679" s="10">
        <v>8757.01</v>
      </c>
      <c r="K679" s="10">
        <v>3667.45</v>
      </c>
      <c r="L679" s="10">
        <v>47450807.670000002</v>
      </c>
      <c r="M679" s="10">
        <v>47514589.619999997</v>
      </c>
      <c r="N679" s="10">
        <v>67587.55</v>
      </c>
      <c r="O679" s="10">
        <v>47464060.859999999</v>
      </c>
      <c r="P679" s="10">
        <v>47452334.350000001</v>
      </c>
      <c r="Q679" s="10">
        <v>11726.51</v>
      </c>
      <c r="R679" s="10">
        <v>3017418.1</v>
      </c>
      <c r="S679" s="10">
        <v>10857953.310000001</v>
      </c>
      <c r="T679" s="10">
        <v>102250.21</v>
      </c>
      <c r="U679" s="10">
        <v>12197.01</v>
      </c>
      <c r="V679" s="10">
        <v>5592.99</v>
      </c>
      <c r="W679" s="10">
        <v>7660.2</v>
      </c>
      <c r="X679" s="10">
        <v>3052.43</v>
      </c>
      <c r="Y679" s="9">
        <v>4838954</v>
      </c>
    </row>
    <row r="680" spans="1:25" ht="16.05" customHeight="1" x14ac:dyDescent="0.3">
      <c r="A680" s="2">
        <v>1979</v>
      </c>
      <c r="B680" s="2">
        <v>29</v>
      </c>
      <c r="C680" s="2">
        <v>2023</v>
      </c>
      <c r="D680" s="3" t="s">
        <v>31</v>
      </c>
      <c r="E680" s="4">
        <v>5529</v>
      </c>
      <c r="F680" s="5">
        <v>346442181.80000001</v>
      </c>
      <c r="G680" s="5">
        <v>78226644.640000001</v>
      </c>
      <c r="H680" s="6">
        <v>22.58</v>
      </c>
      <c r="I680" s="6">
        <v>11.41</v>
      </c>
      <c r="J680" s="5">
        <v>2796.15</v>
      </c>
      <c r="K680" s="5">
        <v>18346.580000000002</v>
      </c>
      <c r="L680" s="5">
        <v>346349251.89999998</v>
      </c>
      <c r="M680" s="5">
        <v>346434089.89999998</v>
      </c>
      <c r="N680" s="5">
        <v>92929.87</v>
      </c>
      <c r="O680" s="5">
        <v>346363883.19999999</v>
      </c>
      <c r="P680" s="5">
        <v>346358771.69999999</v>
      </c>
      <c r="Q680" s="5">
        <v>5111.4799999999996</v>
      </c>
      <c r="R680" s="5">
        <v>39529052.939999998</v>
      </c>
      <c r="S680" s="5">
        <v>38697591.700000003</v>
      </c>
      <c r="T680" s="5">
        <v>70115.710000000006</v>
      </c>
      <c r="U680" s="5">
        <v>53564.05</v>
      </c>
      <c r="V680" s="5">
        <v>10855.8</v>
      </c>
      <c r="W680" s="5">
        <v>3775.45</v>
      </c>
      <c r="X680" s="5">
        <v>3047.71</v>
      </c>
      <c r="Y680" s="4">
        <v>1925814</v>
      </c>
    </row>
    <row r="681" spans="1:25" ht="16.05" customHeight="1" x14ac:dyDescent="0.3">
      <c r="A681" s="7">
        <v>2049</v>
      </c>
      <c r="B681" s="7">
        <v>30</v>
      </c>
      <c r="C681" s="7">
        <v>2023</v>
      </c>
      <c r="D681" s="8" t="s">
        <v>31</v>
      </c>
      <c r="E681" s="9">
        <v>2590</v>
      </c>
      <c r="F681" s="10">
        <v>27603695.780000001</v>
      </c>
      <c r="G681" s="10">
        <v>2026111.27</v>
      </c>
      <c r="H681" s="11">
        <v>7.34</v>
      </c>
      <c r="I681" s="11">
        <v>5.83</v>
      </c>
      <c r="J681" s="10">
        <v>7637.65</v>
      </c>
      <c r="K681" s="10">
        <v>6848.6</v>
      </c>
      <c r="L681" s="10">
        <v>27529694.77</v>
      </c>
      <c r="M681" s="10">
        <v>27589105.030000001</v>
      </c>
      <c r="N681" s="10">
        <v>74001.009999999995</v>
      </c>
      <c r="O681" s="10">
        <v>27537687.170000002</v>
      </c>
      <c r="P681" s="10">
        <v>27526161.670000002</v>
      </c>
      <c r="Q681" s="10">
        <v>11525.5</v>
      </c>
      <c r="R681" s="10">
        <v>1609295.46</v>
      </c>
      <c r="S681" s="10">
        <v>416815.81</v>
      </c>
      <c r="T681" s="10">
        <v>12667.82</v>
      </c>
      <c r="U681" s="10">
        <v>50752.55</v>
      </c>
      <c r="V681" s="10">
        <v>1007.56</v>
      </c>
      <c r="W681" s="10">
        <v>6984.84</v>
      </c>
      <c r="X681" s="10">
        <v>2882.01</v>
      </c>
      <c r="Y681" s="9">
        <v>3101917</v>
      </c>
    </row>
    <row r="682" spans="1:25" ht="16.05" customHeight="1" x14ac:dyDescent="0.3">
      <c r="A682" s="2">
        <v>2119</v>
      </c>
      <c r="B682" s="2">
        <v>31</v>
      </c>
      <c r="C682" s="2">
        <v>2023</v>
      </c>
      <c r="D682" s="3" t="s">
        <v>31</v>
      </c>
      <c r="E682" s="4">
        <v>3804</v>
      </c>
      <c r="F682" s="5">
        <v>197662251.09999999</v>
      </c>
      <c r="G682" s="5">
        <v>42121825.700000003</v>
      </c>
      <c r="H682" s="6">
        <v>21.31</v>
      </c>
      <c r="I682" s="6">
        <v>13.98</v>
      </c>
      <c r="J682" s="5">
        <v>14124.55</v>
      </c>
      <c r="K682" s="5">
        <v>7056.65</v>
      </c>
      <c r="L682" s="5">
        <v>197587589.19999999</v>
      </c>
      <c r="M682" s="5">
        <v>197652189.59999999</v>
      </c>
      <c r="N682" s="5">
        <v>74661.84</v>
      </c>
      <c r="O682" s="5">
        <v>197600414.59999999</v>
      </c>
      <c r="P682" s="5">
        <v>197591164.5</v>
      </c>
      <c r="Q682" s="5">
        <v>9250.1299999999992</v>
      </c>
      <c r="R682" s="5">
        <v>27633182.699999999</v>
      </c>
      <c r="S682" s="5">
        <v>14488643</v>
      </c>
      <c r="T682" s="5">
        <v>74040.47</v>
      </c>
      <c r="U682" s="5">
        <v>29993.71</v>
      </c>
      <c r="V682" s="5">
        <v>11095.34</v>
      </c>
      <c r="W682" s="5">
        <v>1730.08</v>
      </c>
      <c r="X682" s="5">
        <v>1514.53</v>
      </c>
      <c r="Y682" s="4">
        <v>4212403</v>
      </c>
    </row>
    <row r="683" spans="1:25" ht="16.05" customHeight="1" x14ac:dyDescent="0.3">
      <c r="A683" s="7">
        <v>2189</v>
      </c>
      <c r="B683" s="7">
        <v>32</v>
      </c>
      <c r="C683" s="7">
        <v>2023</v>
      </c>
      <c r="D683" s="8" t="s">
        <v>31</v>
      </c>
      <c r="E683" s="9">
        <v>4888</v>
      </c>
      <c r="F683" s="10">
        <v>328828167.39999998</v>
      </c>
      <c r="G683" s="10">
        <v>56689976.049999997</v>
      </c>
      <c r="H683" s="11">
        <v>17.239999999999998</v>
      </c>
      <c r="I683" s="11">
        <v>18.23</v>
      </c>
      <c r="J683" s="10">
        <v>10149.39</v>
      </c>
      <c r="K683" s="10">
        <v>8949.18</v>
      </c>
      <c r="L683" s="10">
        <v>328785995.30000001</v>
      </c>
      <c r="M683" s="10">
        <v>328818895.10000002</v>
      </c>
      <c r="N683" s="10">
        <v>42172.06</v>
      </c>
      <c r="O683" s="10">
        <v>328797969.89999998</v>
      </c>
      <c r="P683" s="10">
        <v>328793200</v>
      </c>
      <c r="Q683" s="10">
        <v>4769.88</v>
      </c>
      <c r="R683" s="10">
        <v>59945374.909999996</v>
      </c>
      <c r="S683" s="10">
        <v>-3255398.86</v>
      </c>
      <c r="T683" s="10">
        <v>27681.88</v>
      </c>
      <c r="U683" s="10">
        <v>27222.92</v>
      </c>
      <c r="V683" s="10">
        <v>9817.5300000000007</v>
      </c>
      <c r="W683" s="10">
        <v>2157.02</v>
      </c>
      <c r="X683" s="10">
        <v>2529.13</v>
      </c>
      <c r="Y683" s="9">
        <v>2815224</v>
      </c>
    </row>
    <row r="684" spans="1:25" ht="16.05" customHeight="1" x14ac:dyDescent="0.3">
      <c r="A684" s="2">
        <v>2259</v>
      </c>
      <c r="B684" s="2">
        <v>33</v>
      </c>
      <c r="C684" s="2">
        <v>2023</v>
      </c>
      <c r="D684" s="3" t="s">
        <v>31</v>
      </c>
      <c r="E684" s="4">
        <v>2153</v>
      </c>
      <c r="F684" s="5">
        <v>101054596.3</v>
      </c>
      <c r="G684" s="5">
        <v>5679268.3099999996</v>
      </c>
      <c r="H684" s="6">
        <v>5.62</v>
      </c>
      <c r="I684" s="6">
        <v>14.89</v>
      </c>
      <c r="J684" s="5">
        <v>12361.38</v>
      </c>
      <c r="K684" s="5">
        <v>4730.55</v>
      </c>
      <c r="L684" s="5">
        <v>100999367.5</v>
      </c>
      <c r="M684" s="5">
        <v>101044015</v>
      </c>
      <c r="N684" s="5">
        <v>55228.74</v>
      </c>
      <c r="O684" s="5">
        <v>101002407.59999999</v>
      </c>
      <c r="P684" s="5">
        <v>100988491</v>
      </c>
      <c r="Q684" s="5">
        <v>13916.56</v>
      </c>
      <c r="R684" s="5">
        <v>15047029.380000001</v>
      </c>
      <c r="S684" s="5">
        <v>-9367761.0700000003</v>
      </c>
      <c r="T684" s="5">
        <v>31435.01</v>
      </c>
      <c r="U684" s="5">
        <v>21713.59</v>
      </c>
      <c r="V684" s="5">
        <v>1260.8699999999999</v>
      </c>
      <c r="W684" s="5">
        <v>1779.16</v>
      </c>
      <c r="X684" s="5">
        <v>4305.71</v>
      </c>
      <c r="Y684" s="4">
        <v>3219431</v>
      </c>
    </row>
    <row r="685" spans="1:25" ht="16.05" customHeight="1" x14ac:dyDescent="0.3">
      <c r="A685" s="7">
        <v>2329</v>
      </c>
      <c r="B685" s="7">
        <v>34</v>
      </c>
      <c r="C685" s="7">
        <v>2023</v>
      </c>
      <c r="D685" s="8" t="s">
        <v>31</v>
      </c>
      <c r="E685" s="9">
        <v>6389</v>
      </c>
      <c r="F685" s="10">
        <v>136254439.80000001</v>
      </c>
      <c r="G685" s="10">
        <v>9960199.5500000007</v>
      </c>
      <c r="H685" s="11">
        <v>7.31</v>
      </c>
      <c r="I685" s="11">
        <v>15.28</v>
      </c>
      <c r="J685" s="10">
        <v>3094.08</v>
      </c>
      <c r="K685" s="10">
        <v>5774.51</v>
      </c>
      <c r="L685" s="10">
        <v>136218301.80000001</v>
      </c>
      <c r="M685" s="10">
        <v>136245851.09999999</v>
      </c>
      <c r="N685" s="10">
        <v>36137.97</v>
      </c>
      <c r="O685" s="10">
        <v>136231245.80000001</v>
      </c>
      <c r="P685" s="10">
        <v>136217134.59999999</v>
      </c>
      <c r="Q685" s="10">
        <v>14111.17</v>
      </c>
      <c r="R685" s="10">
        <v>20819678.399999999</v>
      </c>
      <c r="S685" s="10">
        <v>-10859478.85</v>
      </c>
      <c r="T685" s="10">
        <v>118359.95</v>
      </c>
      <c r="U685" s="10">
        <v>27526.43</v>
      </c>
      <c r="V685" s="10">
        <v>7188.83</v>
      </c>
      <c r="W685" s="10">
        <v>5755.12</v>
      </c>
      <c r="X685" s="10">
        <v>1059.8399999999999</v>
      </c>
      <c r="Y685" s="9">
        <v>4505097</v>
      </c>
    </row>
    <row r="686" spans="1:25" ht="16.05" customHeight="1" x14ac:dyDescent="0.3">
      <c r="A686" s="2">
        <v>2399</v>
      </c>
      <c r="B686" s="2">
        <v>35</v>
      </c>
      <c r="C686" s="2">
        <v>2023</v>
      </c>
      <c r="D686" s="3" t="s">
        <v>31</v>
      </c>
      <c r="E686" s="4">
        <v>3484</v>
      </c>
      <c r="F686" s="5">
        <v>102818328.90000001</v>
      </c>
      <c r="G686" s="5">
        <v>5377398.5999999996</v>
      </c>
      <c r="H686" s="6">
        <v>5.23</v>
      </c>
      <c r="I686" s="6">
        <v>13.45</v>
      </c>
      <c r="J686" s="5">
        <v>3386.28</v>
      </c>
      <c r="K686" s="5">
        <v>11914.87</v>
      </c>
      <c r="L686" s="5">
        <v>102800440</v>
      </c>
      <c r="M686" s="5">
        <v>102798476</v>
      </c>
      <c r="N686" s="5">
        <v>17888.86</v>
      </c>
      <c r="O686" s="5">
        <v>102804062.09999999</v>
      </c>
      <c r="P686" s="5">
        <v>102802552</v>
      </c>
      <c r="Q686" s="5">
        <v>1510.05</v>
      </c>
      <c r="R686" s="5">
        <v>13829065.23</v>
      </c>
      <c r="S686" s="5">
        <v>-8451666.6300000008</v>
      </c>
      <c r="T686" s="5">
        <v>52268.84</v>
      </c>
      <c r="U686" s="5">
        <v>19175.03</v>
      </c>
      <c r="V686" s="5">
        <v>1879.07</v>
      </c>
      <c r="W686" s="5">
        <v>1742.99</v>
      </c>
      <c r="X686" s="5">
        <v>3633.79</v>
      </c>
      <c r="Y686" s="4">
        <v>1794851</v>
      </c>
    </row>
    <row r="687" spans="1:25" ht="16.05" customHeight="1" x14ac:dyDescent="0.3">
      <c r="A687" s="7">
        <v>2469</v>
      </c>
      <c r="B687" s="7">
        <v>36</v>
      </c>
      <c r="C687" s="7">
        <v>2023</v>
      </c>
      <c r="D687" s="8" t="s">
        <v>31</v>
      </c>
      <c r="E687" s="9">
        <v>4357</v>
      </c>
      <c r="F687" s="10">
        <v>91058674.200000003</v>
      </c>
      <c r="G687" s="10">
        <v>17228301.16</v>
      </c>
      <c r="H687" s="11">
        <v>18.920000000000002</v>
      </c>
      <c r="I687" s="11">
        <v>6.02</v>
      </c>
      <c r="J687" s="10">
        <v>14772.68</v>
      </c>
      <c r="K687" s="10">
        <v>15095.57</v>
      </c>
      <c r="L687" s="10">
        <v>90984547.680000007</v>
      </c>
      <c r="M687" s="10">
        <v>91045411.379999995</v>
      </c>
      <c r="N687" s="10">
        <v>74126.52</v>
      </c>
      <c r="O687" s="10">
        <v>90996385.170000002</v>
      </c>
      <c r="P687" s="10">
        <v>90987949.230000004</v>
      </c>
      <c r="Q687" s="10">
        <v>8435.94</v>
      </c>
      <c r="R687" s="10">
        <v>5481732.1900000004</v>
      </c>
      <c r="S687" s="10">
        <v>11746568.970000001</v>
      </c>
      <c r="T687" s="10">
        <v>88268.75</v>
      </c>
      <c r="U687" s="10">
        <v>27831.599999999999</v>
      </c>
      <c r="V687" s="10">
        <v>4137.84</v>
      </c>
      <c r="W687" s="10">
        <v>7699.65</v>
      </c>
      <c r="X687" s="10">
        <v>4104.93</v>
      </c>
      <c r="Y687" s="9">
        <v>2546753</v>
      </c>
    </row>
    <row r="688" spans="1:25" ht="16.05" customHeight="1" x14ac:dyDescent="0.3">
      <c r="A688" s="2">
        <v>2539</v>
      </c>
      <c r="B688" s="2">
        <v>37</v>
      </c>
      <c r="C688" s="2">
        <v>2023</v>
      </c>
      <c r="D688" s="3" t="s">
        <v>31</v>
      </c>
      <c r="E688" s="4">
        <v>1932</v>
      </c>
      <c r="F688" s="5">
        <v>76681902.510000005</v>
      </c>
      <c r="G688" s="5">
        <v>17736524.050000001</v>
      </c>
      <c r="H688" s="6">
        <v>23.13</v>
      </c>
      <c r="I688" s="6">
        <v>17.82</v>
      </c>
      <c r="J688" s="5">
        <v>12590.96</v>
      </c>
      <c r="K688" s="5">
        <v>14298.12</v>
      </c>
      <c r="L688" s="5">
        <v>76583187.349999994</v>
      </c>
      <c r="M688" s="5">
        <v>76671563.799999997</v>
      </c>
      <c r="N688" s="5">
        <v>98715.16</v>
      </c>
      <c r="O688" s="5">
        <v>76591556.219999999</v>
      </c>
      <c r="P688" s="5">
        <v>76581106.590000004</v>
      </c>
      <c r="Q688" s="5">
        <v>10449.629999999999</v>
      </c>
      <c r="R688" s="5">
        <v>13664715.029999999</v>
      </c>
      <c r="S688" s="5">
        <v>4071809.02</v>
      </c>
      <c r="T688" s="5">
        <v>80872.67</v>
      </c>
      <c r="U688" s="5">
        <v>8739.68</v>
      </c>
      <c r="V688" s="5">
        <v>6225.01</v>
      </c>
      <c r="W688" s="5">
        <v>2143.86</v>
      </c>
      <c r="X688" s="5">
        <v>2397.38</v>
      </c>
      <c r="Y688" s="4">
        <v>1992106</v>
      </c>
    </row>
    <row r="689" spans="1:25" ht="16.05" customHeight="1" x14ac:dyDescent="0.3">
      <c r="A689" s="7">
        <v>2609</v>
      </c>
      <c r="B689" s="7">
        <v>38</v>
      </c>
      <c r="C689" s="7">
        <v>2023</v>
      </c>
      <c r="D689" s="8" t="s">
        <v>31</v>
      </c>
      <c r="E689" s="9">
        <v>6132</v>
      </c>
      <c r="F689" s="10">
        <v>77628707.459999993</v>
      </c>
      <c r="G689" s="10">
        <v>10402246.800000001</v>
      </c>
      <c r="H689" s="11">
        <v>13.4</v>
      </c>
      <c r="I689" s="11">
        <v>7.44</v>
      </c>
      <c r="J689" s="10">
        <v>13366.79</v>
      </c>
      <c r="K689" s="10">
        <v>10287.6</v>
      </c>
      <c r="L689" s="10">
        <v>77598591.219999999</v>
      </c>
      <c r="M689" s="10">
        <v>77606685.709999993</v>
      </c>
      <c r="N689" s="10">
        <v>30116.240000000002</v>
      </c>
      <c r="O689" s="10">
        <v>77602520.299999997</v>
      </c>
      <c r="P689" s="10">
        <v>77592545.659999996</v>
      </c>
      <c r="Q689" s="10">
        <v>9974.64</v>
      </c>
      <c r="R689" s="10">
        <v>5775575.8399999999</v>
      </c>
      <c r="S689" s="10">
        <v>4626670.96</v>
      </c>
      <c r="T689" s="10">
        <v>113041.68</v>
      </c>
      <c r="U689" s="10">
        <v>10285.6</v>
      </c>
      <c r="V689" s="10">
        <v>2989.16</v>
      </c>
      <c r="W689" s="10">
        <v>939.92</v>
      </c>
      <c r="X689" s="10">
        <v>1764.93</v>
      </c>
      <c r="Y689" s="9">
        <v>2899778</v>
      </c>
    </row>
    <row r="690" spans="1:25" ht="16.05" customHeight="1" x14ac:dyDescent="0.3">
      <c r="A690" s="2">
        <v>2679</v>
      </c>
      <c r="B690" s="2">
        <v>39</v>
      </c>
      <c r="C690" s="2">
        <v>2023</v>
      </c>
      <c r="D690" s="3" t="s">
        <v>31</v>
      </c>
      <c r="E690" s="4">
        <v>5820</v>
      </c>
      <c r="F690" s="5">
        <v>154420900.69999999</v>
      </c>
      <c r="G690" s="5">
        <v>41477453.920000002</v>
      </c>
      <c r="H690" s="6">
        <v>26.86</v>
      </c>
      <c r="I690" s="6">
        <v>10.72</v>
      </c>
      <c r="J690" s="5">
        <v>11481.59</v>
      </c>
      <c r="K690" s="5">
        <v>14174.94</v>
      </c>
      <c r="L690" s="5">
        <v>154350080.19999999</v>
      </c>
      <c r="M690" s="5">
        <v>154410736.30000001</v>
      </c>
      <c r="N690" s="5">
        <v>70820.44</v>
      </c>
      <c r="O690" s="5">
        <v>154363847.30000001</v>
      </c>
      <c r="P690" s="5">
        <v>154359132.80000001</v>
      </c>
      <c r="Q690" s="5">
        <v>4714.5</v>
      </c>
      <c r="R690" s="5">
        <v>16553920.550000001</v>
      </c>
      <c r="S690" s="5">
        <v>24923533.370000001</v>
      </c>
      <c r="T690" s="5">
        <v>98457.27</v>
      </c>
      <c r="U690" s="5">
        <v>23813.5</v>
      </c>
      <c r="V690" s="5">
        <v>10681.03</v>
      </c>
      <c r="W690" s="5">
        <v>3086</v>
      </c>
      <c r="X690" s="5">
        <v>3883.03</v>
      </c>
      <c r="Y690" s="4">
        <v>1017038</v>
      </c>
    </row>
    <row r="691" spans="1:25" ht="16.05" customHeight="1" x14ac:dyDescent="0.3">
      <c r="A691" s="7">
        <v>2749</v>
      </c>
      <c r="B691" s="7">
        <v>40</v>
      </c>
      <c r="C691" s="7">
        <v>2023</v>
      </c>
      <c r="D691" s="8" t="s">
        <v>31</v>
      </c>
      <c r="E691" s="9">
        <v>4610</v>
      </c>
      <c r="F691" s="10">
        <v>35538482.5</v>
      </c>
      <c r="G691" s="10">
        <v>5554664.8200000003</v>
      </c>
      <c r="H691" s="11">
        <v>15.63</v>
      </c>
      <c r="I691" s="11">
        <v>17.41</v>
      </c>
      <c r="J691" s="10">
        <v>8522.0400000000009</v>
      </c>
      <c r="K691" s="10">
        <v>16811.23</v>
      </c>
      <c r="L691" s="10">
        <v>35457107.640000001</v>
      </c>
      <c r="M691" s="10">
        <v>35532559.950000003</v>
      </c>
      <c r="N691" s="10">
        <v>81374.86</v>
      </c>
      <c r="O691" s="10">
        <v>35471014.140000001</v>
      </c>
      <c r="P691" s="10">
        <v>35462226</v>
      </c>
      <c r="Q691" s="10">
        <v>8788.14</v>
      </c>
      <c r="R691" s="10">
        <v>6187249.7999999998</v>
      </c>
      <c r="S691" s="10">
        <v>-632584.99</v>
      </c>
      <c r="T691" s="10">
        <v>75319.03</v>
      </c>
      <c r="U691" s="10">
        <v>31799.03</v>
      </c>
      <c r="V691" s="10">
        <v>10592.35</v>
      </c>
      <c r="W691" s="10">
        <v>3314.15</v>
      </c>
      <c r="X691" s="10">
        <v>2376.4</v>
      </c>
      <c r="Y691" s="9">
        <v>1927644</v>
      </c>
    </row>
    <row r="692" spans="1:25" ht="16.05" customHeight="1" x14ac:dyDescent="0.3">
      <c r="A692" s="2">
        <v>2819</v>
      </c>
      <c r="B692" s="2">
        <v>41</v>
      </c>
      <c r="C692" s="2">
        <v>2023</v>
      </c>
      <c r="D692" s="3" t="s">
        <v>31</v>
      </c>
      <c r="E692" s="4">
        <v>137</v>
      </c>
      <c r="F692" s="5">
        <v>5477622.2699999996</v>
      </c>
      <c r="G692" s="5">
        <v>1110314.03</v>
      </c>
      <c r="H692" s="6">
        <v>20.27</v>
      </c>
      <c r="I692" s="6">
        <v>19.66</v>
      </c>
      <c r="J692" s="5">
        <v>7266.26</v>
      </c>
      <c r="K692" s="5">
        <v>16661.82</v>
      </c>
      <c r="L692" s="5">
        <v>5382068.1500000004</v>
      </c>
      <c r="M692" s="5">
        <v>5463523.6500000004</v>
      </c>
      <c r="N692" s="5">
        <v>95554.12</v>
      </c>
      <c r="O692" s="5">
        <v>5388539.9500000002</v>
      </c>
      <c r="P692" s="5">
        <v>5384551.7599999998</v>
      </c>
      <c r="Q692" s="5">
        <v>3988.19</v>
      </c>
      <c r="R692" s="5">
        <v>1076900.54</v>
      </c>
      <c r="S692" s="5">
        <v>33413.5</v>
      </c>
      <c r="T692" s="5">
        <v>95696.97</v>
      </c>
      <c r="U692" s="5">
        <v>53093.16</v>
      </c>
      <c r="V692" s="5">
        <v>1015.82</v>
      </c>
      <c r="W692" s="5">
        <v>5455.98</v>
      </c>
      <c r="X692" s="5">
        <v>3844.8</v>
      </c>
      <c r="Y692" s="4">
        <v>2265611</v>
      </c>
    </row>
    <row r="693" spans="1:25" ht="16.05" customHeight="1" x14ac:dyDescent="0.3">
      <c r="A693" s="7">
        <v>2889</v>
      </c>
      <c r="B693" s="7">
        <v>42</v>
      </c>
      <c r="C693" s="7">
        <v>2023</v>
      </c>
      <c r="D693" s="8" t="s">
        <v>31</v>
      </c>
      <c r="E693" s="9">
        <v>6499</v>
      </c>
      <c r="F693" s="10">
        <v>223143956</v>
      </c>
      <c r="G693" s="10">
        <v>41527090.200000003</v>
      </c>
      <c r="H693" s="11">
        <v>18.61</v>
      </c>
      <c r="I693" s="11">
        <v>18.989999999999998</v>
      </c>
      <c r="J693" s="10">
        <v>3522.22</v>
      </c>
      <c r="K693" s="10">
        <v>9621.7900000000009</v>
      </c>
      <c r="L693" s="10">
        <v>223083478.30000001</v>
      </c>
      <c r="M693" s="10">
        <v>223135690.30000001</v>
      </c>
      <c r="N693" s="10">
        <v>60477.64</v>
      </c>
      <c r="O693" s="10">
        <v>223097125.5</v>
      </c>
      <c r="P693" s="10">
        <v>223095039.30000001</v>
      </c>
      <c r="Q693" s="10">
        <v>2086.1999999999998</v>
      </c>
      <c r="R693" s="10">
        <v>42375037.240000002</v>
      </c>
      <c r="S693" s="10">
        <v>-847947.03</v>
      </c>
      <c r="T693" s="10">
        <v>93634.63</v>
      </c>
      <c r="U693" s="10">
        <v>25566.6</v>
      </c>
      <c r="V693" s="10">
        <v>8786.68</v>
      </c>
      <c r="W693" s="10">
        <v>4860.46</v>
      </c>
      <c r="X693" s="10">
        <v>1615.23</v>
      </c>
      <c r="Y693" s="9">
        <v>2611816</v>
      </c>
    </row>
    <row r="694" spans="1:25" ht="16.05" customHeight="1" x14ac:dyDescent="0.3">
      <c r="A694" s="2">
        <v>2959</v>
      </c>
      <c r="B694" s="2">
        <v>43</v>
      </c>
      <c r="C694" s="2">
        <v>2023</v>
      </c>
      <c r="D694" s="3" t="s">
        <v>31</v>
      </c>
      <c r="E694" s="4">
        <v>4014</v>
      </c>
      <c r="F694" s="5">
        <v>106514743.09999999</v>
      </c>
      <c r="G694" s="5">
        <v>19343077.359999999</v>
      </c>
      <c r="H694" s="6">
        <v>18.16</v>
      </c>
      <c r="I694" s="6">
        <v>13.17</v>
      </c>
      <c r="J694" s="5">
        <v>11229.03</v>
      </c>
      <c r="K694" s="5">
        <v>11355.59</v>
      </c>
      <c r="L694" s="5">
        <v>106499971.90000001</v>
      </c>
      <c r="M694" s="5">
        <v>106501450.7</v>
      </c>
      <c r="N694" s="5">
        <v>14771.28</v>
      </c>
      <c r="O694" s="5">
        <v>106509061.3</v>
      </c>
      <c r="P694" s="5">
        <v>106503820.5</v>
      </c>
      <c r="Q694" s="5">
        <v>5240.75</v>
      </c>
      <c r="R694" s="5">
        <v>14027991.67</v>
      </c>
      <c r="S694" s="5">
        <v>5315085.68</v>
      </c>
      <c r="T694" s="5">
        <v>36764.21</v>
      </c>
      <c r="U694" s="5">
        <v>28863.63</v>
      </c>
      <c r="V694" s="5">
        <v>2012.19</v>
      </c>
      <c r="W694" s="5">
        <v>7077.24</v>
      </c>
      <c r="X694" s="5">
        <v>3116.7</v>
      </c>
      <c r="Y694" s="4">
        <v>3704563</v>
      </c>
    </row>
    <row r="695" spans="1:25" ht="16.05" customHeight="1" x14ac:dyDescent="0.3">
      <c r="A695" s="7">
        <v>3029</v>
      </c>
      <c r="B695" s="7">
        <v>44</v>
      </c>
      <c r="C695" s="7">
        <v>2023</v>
      </c>
      <c r="D695" s="8" t="s">
        <v>31</v>
      </c>
      <c r="E695" s="9">
        <v>1405</v>
      </c>
      <c r="F695" s="10">
        <v>58614996.229999997</v>
      </c>
      <c r="G695" s="10">
        <v>3622406.77</v>
      </c>
      <c r="H695" s="11">
        <v>6.18</v>
      </c>
      <c r="I695" s="11">
        <v>15.04</v>
      </c>
      <c r="J695" s="10">
        <v>8608.74</v>
      </c>
      <c r="K695" s="10">
        <v>19214.16</v>
      </c>
      <c r="L695" s="10">
        <v>58532615.109999999</v>
      </c>
      <c r="M695" s="10">
        <v>58601996.759999998</v>
      </c>
      <c r="N695" s="10">
        <v>82381.119999999995</v>
      </c>
      <c r="O695" s="10">
        <v>58538197.219999999</v>
      </c>
      <c r="P695" s="10">
        <v>58536859.630000003</v>
      </c>
      <c r="Q695" s="10">
        <v>1337.59</v>
      </c>
      <c r="R695" s="10">
        <v>8815695.4299999997</v>
      </c>
      <c r="S695" s="10">
        <v>-5193288.67</v>
      </c>
      <c r="T695" s="10">
        <v>36258.769999999997</v>
      </c>
      <c r="U695" s="10">
        <v>8029.17</v>
      </c>
      <c r="V695" s="10">
        <v>2653.13</v>
      </c>
      <c r="W695" s="10">
        <v>2928.98</v>
      </c>
      <c r="X695" s="10">
        <v>4619.54</v>
      </c>
      <c r="Y695" s="9">
        <v>1320086</v>
      </c>
    </row>
    <row r="696" spans="1:25" ht="16.05" customHeight="1" x14ac:dyDescent="0.3">
      <c r="A696" s="2">
        <v>3099</v>
      </c>
      <c r="B696" s="2">
        <v>45</v>
      </c>
      <c r="C696" s="2">
        <v>2023</v>
      </c>
      <c r="D696" s="3" t="s">
        <v>31</v>
      </c>
      <c r="E696" s="4">
        <v>4940</v>
      </c>
      <c r="F696" s="5">
        <v>298313543.30000001</v>
      </c>
      <c r="G696" s="5">
        <v>77233376.359999999</v>
      </c>
      <c r="H696" s="6">
        <v>25.89</v>
      </c>
      <c r="I696" s="6">
        <v>17.579999999999998</v>
      </c>
      <c r="J696" s="5">
        <v>10011.280000000001</v>
      </c>
      <c r="K696" s="5">
        <v>3898.47</v>
      </c>
      <c r="L696" s="5">
        <v>298245700.5</v>
      </c>
      <c r="M696" s="5">
        <v>298299981.69999999</v>
      </c>
      <c r="N696" s="5">
        <v>67842.789999999994</v>
      </c>
      <c r="O696" s="5">
        <v>298252976.69999999</v>
      </c>
      <c r="P696" s="5">
        <v>298239849.10000002</v>
      </c>
      <c r="Q696" s="5">
        <v>13127.63</v>
      </c>
      <c r="R696" s="5">
        <v>52443520.909999996</v>
      </c>
      <c r="S696" s="5">
        <v>24789855.449999999</v>
      </c>
      <c r="T696" s="5">
        <v>100307.94</v>
      </c>
      <c r="U696" s="5">
        <v>32690.46</v>
      </c>
      <c r="V696" s="5">
        <v>6455.6</v>
      </c>
      <c r="W696" s="5">
        <v>820.57</v>
      </c>
      <c r="X696" s="5">
        <v>3259.66</v>
      </c>
      <c r="Y696" s="4">
        <v>4594396</v>
      </c>
    </row>
    <row r="697" spans="1:25" ht="16.05" customHeight="1" x14ac:dyDescent="0.3">
      <c r="A697" s="7">
        <v>3169</v>
      </c>
      <c r="B697" s="7">
        <v>46</v>
      </c>
      <c r="C697" s="7">
        <v>2023</v>
      </c>
      <c r="D697" s="8" t="s">
        <v>31</v>
      </c>
      <c r="E697" s="9">
        <v>3069</v>
      </c>
      <c r="F697" s="10">
        <v>128836013.5</v>
      </c>
      <c r="G697" s="10">
        <v>20549344.16</v>
      </c>
      <c r="H697" s="11">
        <v>15.95</v>
      </c>
      <c r="I697" s="11">
        <v>16.36</v>
      </c>
      <c r="J697" s="10">
        <v>5000.63</v>
      </c>
      <c r="K697" s="10">
        <v>4497.03</v>
      </c>
      <c r="L697" s="10">
        <v>128825945.2</v>
      </c>
      <c r="M697" s="10">
        <v>128831125.2</v>
      </c>
      <c r="N697" s="10">
        <v>10068.31</v>
      </c>
      <c r="O697" s="10">
        <v>128838597.09999999</v>
      </c>
      <c r="P697" s="10">
        <v>128834265.2</v>
      </c>
      <c r="Q697" s="10">
        <v>4331.8100000000004</v>
      </c>
      <c r="R697" s="10">
        <v>21077571.809999999</v>
      </c>
      <c r="S697" s="10">
        <v>-528227.66</v>
      </c>
      <c r="T697" s="10">
        <v>59532.39</v>
      </c>
      <c r="U697" s="10">
        <v>13868.43</v>
      </c>
      <c r="V697" s="10">
        <v>8537.74</v>
      </c>
      <c r="W697" s="10">
        <v>4114.1099999999997</v>
      </c>
      <c r="X697" s="10">
        <v>3962.56</v>
      </c>
      <c r="Y697" s="9">
        <v>3116107</v>
      </c>
    </row>
    <row r="698" spans="1:25" ht="16.05" customHeight="1" x14ac:dyDescent="0.3">
      <c r="A698" s="2">
        <v>3239</v>
      </c>
      <c r="B698" s="2">
        <v>47</v>
      </c>
      <c r="C698" s="2">
        <v>2023</v>
      </c>
      <c r="D698" s="3" t="s">
        <v>31</v>
      </c>
      <c r="E698" s="4">
        <v>2482</v>
      </c>
      <c r="F698" s="5">
        <v>116018108</v>
      </c>
      <c r="G698" s="5">
        <v>8260489.29</v>
      </c>
      <c r="H698" s="6">
        <v>7.12</v>
      </c>
      <c r="I698" s="6">
        <v>11.36</v>
      </c>
      <c r="J698" s="5">
        <v>5371.35</v>
      </c>
      <c r="K698" s="5">
        <v>16032.62</v>
      </c>
      <c r="L698" s="5">
        <v>115999565.59999999</v>
      </c>
      <c r="M698" s="5">
        <v>115994035.40000001</v>
      </c>
      <c r="N698" s="5">
        <v>18542.330000000002</v>
      </c>
      <c r="O698" s="5">
        <v>116014772.7</v>
      </c>
      <c r="P698" s="5">
        <v>116006882.59999999</v>
      </c>
      <c r="Q698" s="5">
        <v>7890.08</v>
      </c>
      <c r="R698" s="5">
        <v>13179657.07</v>
      </c>
      <c r="S698" s="5">
        <v>-4919167.78</v>
      </c>
      <c r="T698" s="5">
        <v>46998.89</v>
      </c>
      <c r="U698" s="5">
        <v>34748.42</v>
      </c>
      <c r="V698" s="5">
        <v>9581.51</v>
      </c>
      <c r="W698" s="5">
        <v>5625.56</v>
      </c>
      <c r="X698" s="5">
        <v>4624.1400000000003</v>
      </c>
      <c r="Y698" s="4">
        <v>2042113</v>
      </c>
    </row>
    <row r="699" spans="1:25" ht="16.05" customHeight="1" x14ac:dyDescent="0.3">
      <c r="A699" s="7">
        <v>3309</v>
      </c>
      <c r="B699" s="7">
        <v>48</v>
      </c>
      <c r="C699" s="7">
        <v>2023</v>
      </c>
      <c r="D699" s="8" t="s">
        <v>31</v>
      </c>
      <c r="E699" s="9">
        <v>2646</v>
      </c>
      <c r="F699" s="10">
        <v>58879824.640000001</v>
      </c>
      <c r="G699" s="10">
        <v>9938914.4000000004</v>
      </c>
      <c r="H699" s="11">
        <v>16.88</v>
      </c>
      <c r="I699" s="11">
        <v>13.91</v>
      </c>
      <c r="J699" s="10">
        <v>10148.4</v>
      </c>
      <c r="K699" s="10">
        <v>13430.32</v>
      </c>
      <c r="L699" s="10">
        <v>58860504.729999997</v>
      </c>
      <c r="M699" s="10">
        <v>58863087.460000001</v>
      </c>
      <c r="N699" s="10">
        <v>19319.91</v>
      </c>
      <c r="O699" s="10">
        <v>58871137.479999997</v>
      </c>
      <c r="P699" s="10">
        <v>58867368.609999999</v>
      </c>
      <c r="Q699" s="10">
        <v>3768.87</v>
      </c>
      <c r="R699" s="10">
        <v>8190183.6100000003</v>
      </c>
      <c r="S699" s="10">
        <v>1748730.79</v>
      </c>
      <c r="T699" s="10">
        <v>29637.57</v>
      </c>
      <c r="U699" s="10">
        <v>37018.35</v>
      </c>
      <c r="V699" s="10">
        <v>7865.08</v>
      </c>
      <c r="W699" s="10">
        <v>2767.67</v>
      </c>
      <c r="X699" s="10">
        <v>3119.84</v>
      </c>
      <c r="Y699" s="9">
        <v>2823344</v>
      </c>
    </row>
    <row r="700" spans="1:25" ht="16.05" customHeight="1" x14ac:dyDescent="0.3">
      <c r="A700" s="2">
        <v>3379</v>
      </c>
      <c r="B700" s="2">
        <v>49</v>
      </c>
      <c r="C700" s="2">
        <v>2023</v>
      </c>
      <c r="D700" s="3" t="s">
        <v>31</v>
      </c>
      <c r="E700" s="4">
        <v>303</v>
      </c>
      <c r="F700" s="5">
        <v>20996735.809999999</v>
      </c>
      <c r="G700" s="5">
        <v>5499045.1100000003</v>
      </c>
      <c r="H700" s="6">
        <v>26.19</v>
      </c>
      <c r="I700" s="6">
        <v>10.07</v>
      </c>
      <c r="J700" s="5">
        <v>9260</v>
      </c>
      <c r="K700" s="5">
        <v>5727.65</v>
      </c>
      <c r="L700" s="5">
        <v>20922752.109999999</v>
      </c>
      <c r="M700" s="5">
        <v>20982323.16</v>
      </c>
      <c r="N700" s="5">
        <v>73983.7</v>
      </c>
      <c r="O700" s="5">
        <v>20927412.600000001</v>
      </c>
      <c r="P700" s="5">
        <v>20917194.390000001</v>
      </c>
      <c r="Q700" s="5">
        <v>10218.209999999999</v>
      </c>
      <c r="R700" s="5">
        <v>2114371.2999999998</v>
      </c>
      <c r="S700" s="5">
        <v>3384673.81</v>
      </c>
      <c r="T700" s="5">
        <v>53342.1</v>
      </c>
      <c r="U700" s="5">
        <v>17779.189999999999</v>
      </c>
      <c r="V700" s="5">
        <v>3759.33</v>
      </c>
      <c r="W700" s="5">
        <v>901.16</v>
      </c>
      <c r="X700" s="5">
        <v>3519.63</v>
      </c>
      <c r="Y700" s="4">
        <v>3947400</v>
      </c>
    </row>
    <row r="701" spans="1:25" ht="16.05" customHeight="1" x14ac:dyDescent="0.3">
      <c r="A701" s="7">
        <v>3449</v>
      </c>
      <c r="B701" s="7">
        <v>50</v>
      </c>
      <c r="C701" s="7">
        <v>2023</v>
      </c>
      <c r="D701" s="8" t="s">
        <v>31</v>
      </c>
      <c r="E701" s="9">
        <v>837</v>
      </c>
      <c r="F701" s="10">
        <v>30278057.460000001</v>
      </c>
      <c r="G701" s="10">
        <v>5858804.1200000001</v>
      </c>
      <c r="H701" s="11">
        <v>19.350000000000001</v>
      </c>
      <c r="I701" s="11">
        <v>18.170000000000002</v>
      </c>
      <c r="J701" s="10">
        <v>4718.32</v>
      </c>
      <c r="K701" s="10">
        <v>3108.82</v>
      </c>
      <c r="L701" s="10">
        <v>30217128.489999998</v>
      </c>
      <c r="M701" s="10">
        <v>30258881.699999999</v>
      </c>
      <c r="N701" s="10">
        <v>60928.97</v>
      </c>
      <c r="O701" s="10">
        <v>30218838.300000001</v>
      </c>
      <c r="P701" s="10">
        <v>30216473.16</v>
      </c>
      <c r="Q701" s="10">
        <v>2365.14</v>
      </c>
      <c r="R701" s="10">
        <v>5501523.04</v>
      </c>
      <c r="S701" s="10">
        <v>357281.08</v>
      </c>
      <c r="T701" s="10">
        <v>67096.22</v>
      </c>
      <c r="U701" s="10">
        <v>26109.01</v>
      </c>
      <c r="V701" s="10">
        <v>1022.88</v>
      </c>
      <c r="W701" s="10">
        <v>686.93</v>
      </c>
      <c r="X701" s="10">
        <v>1124.73</v>
      </c>
      <c r="Y701" s="9">
        <v>2353977</v>
      </c>
    </row>
    <row r="702" spans="1:25" ht="16.05" customHeight="1" x14ac:dyDescent="0.3">
      <c r="A702" s="2">
        <v>60</v>
      </c>
      <c r="B702" s="2">
        <v>1</v>
      </c>
      <c r="C702" s="2">
        <v>2024</v>
      </c>
      <c r="D702" s="3" t="s">
        <v>25</v>
      </c>
      <c r="E702" s="4">
        <v>3987</v>
      </c>
      <c r="F702" s="5">
        <v>146559780.09999999</v>
      </c>
      <c r="G702" s="5">
        <v>39820292.25</v>
      </c>
      <c r="H702" s="6">
        <v>27.17</v>
      </c>
      <c r="I702" s="6">
        <v>16.05</v>
      </c>
      <c r="J702" s="5">
        <v>6757.99</v>
      </c>
      <c r="K702" s="5">
        <v>7142.77</v>
      </c>
      <c r="L702" s="5">
        <v>146548872.40000001</v>
      </c>
      <c r="M702" s="5">
        <v>146533705.09999999</v>
      </c>
      <c r="N702" s="5">
        <v>10907.63</v>
      </c>
      <c r="O702" s="5">
        <v>146558610</v>
      </c>
      <c r="P702" s="5">
        <v>146545939</v>
      </c>
      <c r="Q702" s="5">
        <v>12671.07</v>
      </c>
      <c r="R702" s="5">
        <v>23522844.699999999</v>
      </c>
      <c r="S702" s="5">
        <v>16297447.539999999</v>
      </c>
      <c r="T702" s="5">
        <v>38116.35</v>
      </c>
      <c r="U702" s="5">
        <v>11011.85</v>
      </c>
      <c r="V702" s="5">
        <v>8851.9599999999991</v>
      </c>
      <c r="W702" s="5">
        <v>885.64</v>
      </c>
      <c r="X702" s="5">
        <v>2872.44</v>
      </c>
      <c r="Y702" s="4">
        <v>3709798</v>
      </c>
    </row>
    <row r="703" spans="1:25" ht="16.05" customHeight="1" x14ac:dyDescent="0.3">
      <c r="A703" s="7">
        <v>130</v>
      </c>
      <c r="B703" s="7">
        <v>2</v>
      </c>
      <c r="C703" s="7">
        <v>2024</v>
      </c>
      <c r="D703" s="8" t="s">
        <v>25</v>
      </c>
      <c r="E703" s="9">
        <v>3623</v>
      </c>
      <c r="F703" s="10">
        <v>63840122.119999997</v>
      </c>
      <c r="G703" s="10">
        <v>11216709.460000001</v>
      </c>
      <c r="H703" s="11">
        <v>17.57</v>
      </c>
      <c r="I703" s="11">
        <v>8.2200000000000006</v>
      </c>
      <c r="J703" s="10">
        <v>5510.64</v>
      </c>
      <c r="K703" s="10">
        <v>14837.69</v>
      </c>
      <c r="L703" s="10">
        <v>63797098.240000002</v>
      </c>
      <c r="M703" s="10">
        <v>63825431.939999998</v>
      </c>
      <c r="N703" s="10">
        <v>43023.88</v>
      </c>
      <c r="O703" s="10">
        <v>63807111.259999998</v>
      </c>
      <c r="P703" s="10">
        <v>63802239.210000001</v>
      </c>
      <c r="Q703" s="10">
        <v>4872.05</v>
      </c>
      <c r="R703" s="10">
        <v>5247658.04</v>
      </c>
      <c r="S703" s="10">
        <v>5969051.4199999999</v>
      </c>
      <c r="T703" s="10">
        <v>84086.96</v>
      </c>
      <c r="U703" s="10">
        <v>45125.84</v>
      </c>
      <c r="V703" s="10">
        <v>9168.59</v>
      </c>
      <c r="W703" s="10">
        <v>844.43</v>
      </c>
      <c r="X703" s="10">
        <v>4522.46</v>
      </c>
      <c r="Y703" s="9">
        <v>1241510</v>
      </c>
    </row>
    <row r="704" spans="1:25" ht="16.05" customHeight="1" x14ac:dyDescent="0.3">
      <c r="A704" s="2">
        <v>200</v>
      </c>
      <c r="B704" s="2">
        <v>3</v>
      </c>
      <c r="C704" s="2">
        <v>2024</v>
      </c>
      <c r="D704" s="3" t="s">
        <v>25</v>
      </c>
      <c r="E704" s="4">
        <v>1665</v>
      </c>
      <c r="F704" s="5">
        <v>105209202.09999999</v>
      </c>
      <c r="G704" s="5">
        <v>27775229.350000001</v>
      </c>
      <c r="H704" s="6">
        <v>26.4</v>
      </c>
      <c r="I704" s="6">
        <v>7.78</v>
      </c>
      <c r="J704" s="5">
        <v>14275.75</v>
      </c>
      <c r="K704" s="5">
        <v>9463.41</v>
      </c>
      <c r="L704" s="5">
        <v>105115562.40000001</v>
      </c>
      <c r="M704" s="5">
        <v>105196336.59999999</v>
      </c>
      <c r="N704" s="5">
        <v>93639.66</v>
      </c>
      <c r="O704" s="5">
        <v>105119134.09999999</v>
      </c>
      <c r="P704" s="5">
        <v>105113296.90000001</v>
      </c>
      <c r="Q704" s="5">
        <v>5837.13</v>
      </c>
      <c r="R704" s="5">
        <v>8185275.9199999999</v>
      </c>
      <c r="S704" s="5">
        <v>19589953.43</v>
      </c>
      <c r="T704" s="5">
        <v>57191.38</v>
      </c>
      <c r="U704" s="5">
        <v>44374.75</v>
      </c>
      <c r="V704" s="5">
        <v>2492.0300000000002</v>
      </c>
      <c r="W704" s="5">
        <v>1079.6300000000001</v>
      </c>
      <c r="X704" s="5">
        <v>2279.73</v>
      </c>
      <c r="Y704" s="4">
        <v>1346707</v>
      </c>
    </row>
    <row r="705" spans="1:25" ht="16.05" customHeight="1" x14ac:dyDescent="0.3">
      <c r="A705" s="7">
        <v>270</v>
      </c>
      <c r="B705" s="7">
        <v>4</v>
      </c>
      <c r="C705" s="7">
        <v>2024</v>
      </c>
      <c r="D705" s="8" t="s">
        <v>25</v>
      </c>
      <c r="E705" s="9">
        <v>6633</v>
      </c>
      <c r="F705" s="10">
        <v>304861764.10000002</v>
      </c>
      <c r="G705" s="10">
        <v>40180780.509999998</v>
      </c>
      <c r="H705" s="11">
        <v>13.18</v>
      </c>
      <c r="I705" s="11">
        <v>9.77</v>
      </c>
      <c r="J705" s="10">
        <v>12729.64</v>
      </c>
      <c r="K705" s="10">
        <v>4941.18</v>
      </c>
      <c r="L705" s="10">
        <v>304843918.89999998</v>
      </c>
      <c r="M705" s="10">
        <v>304837191.5</v>
      </c>
      <c r="N705" s="10">
        <v>17845.18</v>
      </c>
      <c r="O705" s="10">
        <v>304854144.19999999</v>
      </c>
      <c r="P705" s="10">
        <v>304841526.30000001</v>
      </c>
      <c r="Q705" s="10">
        <v>12617.88</v>
      </c>
      <c r="R705" s="10">
        <v>29784994.350000001</v>
      </c>
      <c r="S705" s="10">
        <v>10395786.16</v>
      </c>
      <c r="T705" s="10">
        <v>107956.46</v>
      </c>
      <c r="U705" s="10">
        <v>42425.93</v>
      </c>
      <c r="V705" s="10">
        <v>6932.13</v>
      </c>
      <c r="W705" s="10">
        <v>3293.14</v>
      </c>
      <c r="X705" s="10">
        <v>2403.11</v>
      </c>
      <c r="Y705" s="9">
        <v>2694416</v>
      </c>
    </row>
    <row r="706" spans="1:25" ht="16.05" customHeight="1" x14ac:dyDescent="0.3">
      <c r="A706" s="2">
        <v>340</v>
      </c>
      <c r="B706" s="2">
        <v>5</v>
      </c>
      <c r="C706" s="2">
        <v>2024</v>
      </c>
      <c r="D706" s="3" t="s">
        <v>25</v>
      </c>
      <c r="E706" s="4">
        <v>4811</v>
      </c>
      <c r="F706" s="5">
        <v>155938231.90000001</v>
      </c>
      <c r="G706" s="5">
        <v>26291185.899999999</v>
      </c>
      <c r="H706" s="6">
        <v>16.86</v>
      </c>
      <c r="I706" s="6">
        <v>11.57</v>
      </c>
      <c r="J706" s="5">
        <v>6969.93</v>
      </c>
      <c r="K706" s="5">
        <v>12437.96</v>
      </c>
      <c r="L706" s="5">
        <v>155886443</v>
      </c>
      <c r="M706" s="5">
        <v>155918377.30000001</v>
      </c>
      <c r="N706" s="5">
        <v>51788.98</v>
      </c>
      <c r="O706" s="5">
        <v>155896334.09999999</v>
      </c>
      <c r="P706" s="5">
        <v>155890427.30000001</v>
      </c>
      <c r="Q706" s="5">
        <v>5906.79</v>
      </c>
      <c r="R706" s="5">
        <v>18042053.43</v>
      </c>
      <c r="S706" s="5">
        <v>8249132.4699999997</v>
      </c>
      <c r="T706" s="5">
        <v>68848.929999999993</v>
      </c>
      <c r="U706" s="5">
        <v>25331.82</v>
      </c>
      <c r="V706" s="5">
        <v>8902.1200000000008</v>
      </c>
      <c r="W706" s="5">
        <v>988.99</v>
      </c>
      <c r="X706" s="5">
        <v>4087.68</v>
      </c>
      <c r="Y706" s="4">
        <v>4742923</v>
      </c>
    </row>
    <row r="707" spans="1:25" ht="16.05" customHeight="1" x14ac:dyDescent="0.3">
      <c r="A707" s="7">
        <v>410</v>
      </c>
      <c r="B707" s="7">
        <v>6</v>
      </c>
      <c r="C707" s="7">
        <v>2024</v>
      </c>
      <c r="D707" s="8" t="s">
        <v>25</v>
      </c>
      <c r="E707" s="9">
        <v>2084</v>
      </c>
      <c r="F707" s="10">
        <v>135004746.30000001</v>
      </c>
      <c r="G707" s="10">
        <v>33859190.369999997</v>
      </c>
      <c r="H707" s="11">
        <v>25.08</v>
      </c>
      <c r="I707" s="11">
        <v>5.87</v>
      </c>
      <c r="J707" s="10">
        <v>12224.11</v>
      </c>
      <c r="K707" s="10">
        <v>15007.86</v>
      </c>
      <c r="L707" s="10">
        <v>134967709.80000001</v>
      </c>
      <c r="M707" s="10">
        <v>134997516.59999999</v>
      </c>
      <c r="N707" s="10">
        <v>37036.49</v>
      </c>
      <c r="O707" s="10">
        <v>134972598.19999999</v>
      </c>
      <c r="P707" s="10">
        <v>134964118.40000001</v>
      </c>
      <c r="Q707" s="10">
        <v>8479.7199999999993</v>
      </c>
      <c r="R707" s="10">
        <v>7924778.6100000003</v>
      </c>
      <c r="S707" s="10">
        <v>25934411.760000002</v>
      </c>
      <c r="T707" s="10">
        <v>62272.63</v>
      </c>
      <c r="U707" s="10">
        <v>51005.4</v>
      </c>
      <c r="V707" s="10">
        <v>1035.1500000000001</v>
      </c>
      <c r="W707" s="10">
        <v>3853.21</v>
      </c>
      <c r="X707" s="10">
        <v>1671.85</v>
      </c>
      <c r="Y707" s="9">
        <v>1873489</v>
      </c>
    </row>
    <row r="708" spans="1:25" ht="16.05" customHeight="1" x14ac:dyDescent="0.3">
      <c r="A708" s="2">
        <v>480</v>
      </c>
      <c r="B708" s="2">
        <v>7</v>
      </c>
      <c r="C708" s="2">
        <v>2024</v>
      </c>
      <c r="D708" s="3" t="s">
        <v>25</v>
      </c>
      <c r="E708" s="4">
        <v>914</v>
      </c>
      <c r="F708" s="5">
        <v>47440442.079999998</v>
      </c>
      <c r="G708" s="5">
        <v>9853379.8200000003</v>
      </c>
      <c r="H708" s="6">
        <v>20.77</v>
      </c>
      <c r="I708" s="6">
        <v>16.59</v>
      </c>
      <c r="J708" s="5">
        <v>13907.22</v>
      </c>
      <c r="K708" s="5">
        <v>3658.38</v>
      </c>
      <c r="L708" s="5">
        <v>47411588.359999999</v>
      </c>
      <c r="M708" s="5">
        <v>47420691.770000003</v>
      </c>
      <c r="N708" s="5">
        <v>28853.72</v>
      </c>
      <c r="O708" s="5">
        <v>47417832.829999998</v>
      </c>
      <c r="P708" s="5">
        <v>47412091.890000001</v>
      </c>
      <c r="Q708" s="5">
        <v>5740.94</v>
      </c>
      <c r="R708" s="5">
        <v>7870369.3399999999</v>
      </c>
      <c r="S708" s="5">
        <v>1983010.48</v>
      </c>
      <c r="T708" s="5">
        <v>36427.279999999999</v>
      </c>
      <c r="U708" s="5">
        <v>47561.120000000003</v>
      </c>
      <c r="V708" s="5">
        <v>1646.07</v>
      </c>
      <c r="W708" s="5">
        <v>4598.3999999999996</v>
      </c>
      <c r="X708" s="5">
        <v>3394.1</v>
      </c>
      <c r="Y708" s="4">
        <v>3490229</v>
      </c>
    </row>
    <row r="709" spans="1:25" ht="16.05" customHeight="1" x14ac:dyDescent="0.3">
      <c r="A709" s="7">
        <v>550</v>
      </c>
      <c r="B709" s="7">
        <v>8</v>
      </c>
      <c r="C709" s="7">
        <v>2024</v>
      </c>
      <c r="D709" s="8" t="s">
        <v>25</v>
      </c>
      <c r="E709" s="9">
        <v>3988</v>
      </c>
      <c r="F709" s="10">
        <v>210312217.19999999</v>
      </c>
      <c r="G709" s="10">
        <v>21241533.940000001</v>
      </c>
      <c r="H709" s="11">
        <v>10.1</v>
      </c>
      <c r="I709" s="11">
        <v>16.78</v>
      </c>
      <c r="J709" s="10">
        <v>8413.07</v>
      </c>
      <c r="K709" s="10">
        <v>19652.72</v>
      </c>
      <c r="L709" s="10">
        <v>210219202</v>
      </c>
      <c r="M709" s="10">
        <v>210301721</v>
      </c>
      <c r="N709" s="10">
        <v>93015.19</v>
      </c>
      <c r="O709" s="10">
        <v>210235136.69999999</v>
      </c>
      <c r="P709" s="10">
        <v>210222581</v>
      </c>
      <c r="Q709" s="10">
        <v>12555.61</v>
      </c>
      <c r="R709" s="10">
        <v>35290390.049999997</v>
      </c>
      <c r="S709" s="10">
        <v>-14048856.109999999</v>
      </c>
      <c r="T709" s="10">
        <v>108583.48</v>
      </c>
      <c r="U709" s="10">
        <v>53097.89</v>
      </c>
      <c r="V709" s="10">
        <v>9727.6299999999992</v>
      </c>
      <c r="W709" s="10">
        <v>6207.01</v>
      </c>
      <c r="X709" s="10">
        <v>1149.68</v>
      </c>
      <c r="Y709" s="9">
        <v>3221459</v>
      </c>
    </row>
    <row r="710" spans="1:25" ht="16.05" customHeight="1" x14ac:dyDescent="0.3">
      <c r="A710" s="2">
        <v>620</v>
      </c>
      <c r="B710" s="2">
        <v>9</v>
      </c>
      <c r="C710" s="2">
        <v>2024</v>
      </c>
      <c r="D710" s="3" t="s">
        <v>25</v>
      </c>
      <c r="E710" s="4">
        <v>1631</v>
      </c>
      <c r="F710" s="5">
        <v>58438356.719999999</v>
      </c>
      <c r="G710" s="5">
        <v>17087375.5</v>
      </c>
      <c r="H710" s="6">
        <v>29.24</v>
      </c>
      <c r="I710" s="6">
        <v>19.55</v>
      </c>
      <c r="J710" s="5">
        <v>11060.49</v>
      </c>
      <c r="K710" s="5">
        <v>12487.5</v>
      </c>
      <c r="L710" s="5">
        <v>58393028.909999996</v>
      </c>
      <c r="M710" s="5">
        <v>58433077.609999999</v>
      </c>
      <c r="N710" s="5">
        <v>45327.81</v>
      </c>
      <c r="O710" s="5">
        <v>58407889.289999999</v>
      </c>
      <c r="P710" s="5">
        <v>58395146.57</v>
      </c>
      <c r="Q710" s="5">
        <v>12742.72</v>
      </c>
      <c r="R710" s="5">
        <v>11424698.74</v>
      </c>
      <c r="S710" s="5">
        <v>5662676.7699999996</v>
      </c>
      <c r="T710" s="5">
        <v>43259.76</v>
      </c>
      <c r="U710" s="5">
        <v>49663.46</v>
      </c>
      <c r="V710" s="5">
        <v>9361.39</v>
      </c>
      <c r="W710" s="5">
        <v>5498.99</v>
      </c>
      <c r="X710" s="5">
        <v>2877.6</v>
      </c>
      <c r="Y710" s="4">
        <v>4058218</v>
      </c>
    </row>
    <row r="711" spans="1:25" ht="16.05" customHeight="1" x14ac:dyDescent="0.3">
      <c r="A711" s="7">
        <v>690</v>
      </c>
      <c r="B711" s="7">
        <v>10</v>
      </c>
      <c r="C711" s="7">
        <v>2024</v>
      </c>
      <c r="D711" s="8" t="s">
        <v>25</v>
      </c>
      <c r="E711" s="9">
        <v>179</v>
      </c>
      <c r="F711" s="10">
        <v>5241952.54</v>
      </c>
      <c r="G711" s="10">
        <v>1144318.24</v>
      </c>
      <c r="H711" s="11">
        <v>21.83</v>
      </c>
      <c r="I711" s="11">
        <v>17.23</v>
      </c>
      <c r="J711" s="10">
        <v>9331.8799999999992</v>
      </c>
      <c r="K711" s="10">
        <v>5711.71</v>
      </c>
      <c r="L711" s="10">
        <v>5178320.4800000004</v>
      </c>
      <c r="M711" s="10">
        <v>5229037.5</v>
      </c>
      <c r="N711" s="10">
        <v>63632.06</v>
      </c>
      <c r="O711" s="10">
        <v>5187058.5599999996</v>
      </c>
      <c r="P711" s="10">
        <v>5180091.0599999996</v>
      </c>
      <c r="Q711" s="10">
        <v>6967.5</v>
      </c>
      <c r="R711" s="10">
        <v>903188.42</v>
      </c>
      <c r="S711" s="10">
        <v>241129.82</v>
      </c>
      <c r="T711" s="10">
        <v>71918.41</v>
      </c>
      <c r="U711" s="10">
        <v>53811.08</v>
      </c>
      <c r="V711" s="10">
        <v>1753.18</v>
      </c>
      <c r="W711" s="10">
        <v>6984.9</v>
      </c>
      <c r="X711" s="10">
        <v>3925.44</v>
      </c>
      <c r="Y711" s="9">
        <v>4854646</v>
      </c>
    </row>
    <row r="712" spans="1:25" ht="16.05" customHeight="1" x14ac:dyDescent="0.3">
      <c r="A712" s="2">
        <v>760</v>
      </c>
      <c r="B712" s="2">
        <v>11</v>
      </c>
      <c r="C712" s="2">
        <v>2024</v>
      </c>
      <c r="D712" s="3" t="s">
        <v>25</v>
      </c>
      <c r="E712" s="4">
        <v>4190</v>
      </c>
      <c r="F712" s="5">
        <v>25796756.52</v>
      </c>
      <c r="G712" s="5">
        <v>7661636.6900000004</v>
      </c>
      <c r="H712" s="6">
        <v>29.7</v>
      </c>
      <c r="I712" s="6">
        <v>14.25</v>
      </c>
      <c r="J712" s="5">
        <v>3023.11</v>
      </c>
      <c r="K712" s="5">
        <v>14686.97</v>
      </c>
      <c r="L712" s="5">
        <v>25707159.649999999</v>
      </c>
      <c r="M712" s="5">
        <v>25778049.850000001</v>
      </c>
      <c r="N712" s="5">
        <v>89596.87</v>
      </c>
      <c r="O712" s="5">
        <v>25721924.420000002</v>
      </c>
      <c r="P712" s="5">
        <v>25713023.469999999</v>
      </c>
      <c r="Q712" s="5">
        <v>8900.9500000000007</v>
      </c>
      <c r="R712" s="5">
        <v>3676037.8</v>
      </c>
      <c r="S712" s="5">
        <v>3985598.88</v>
      </c>
      <c r="T712" s="5">
        <v>47378.37</v>
      </c>
      <c r="U712" s="5">
        <v>26928.799999999999</v>
      </c>
      <c r="V712" s="5">
        <v>9957.3700000000008</v>
      </c>
      <c r="W712" s="5">
        <v>4807.3999999999996</v>
      </c>
      <c r="X712" s="5">
        <v>4142.6000000000004</v>
      </c>
      <c r="Y712" s="4">
        <v>2944616</v>
      </c>
    </row>
    <row r="713" spans="1:25" ht="16.05" customHeight="1" x14ac:dyDescent="0.3">
      <c r="A713" s="7">
        <v>830</v>
      </c>
      <c r="B713" s="7">
        <v>12</v>
      </c>
      <c r="C713" s="7">
        <v>2024</v>
      </c>
      <c r="D713" s="8" t="s">
        <v>25</v>
      </c>
      <c r="E713" s="9">
        <v>4635</v>
      </c>
      <c r="F713" s="10">
        <v>140867289.30000001</v>
      </c>
      <c r="G713" s="10">
        <v>34258924.770000003</v>
      </c>
      <c r="H713" s="11">
        <v>24.32</v>
      </c>
      <c r="I713" s="11">
        <v>6.34</v>
      </c>
      <c r="J713" s="10">
        <v>6331.96</v>
      </c>
      <c r="K713" s="10">
        <v>2460.8000000000002</v>
      </c>
      <c r="L713" s="10">
        <v>140833883.09999999</v>
      </c>
      <c r="M713" s="10">
        <v>140849242.40000001</v>
      </c>
      <c r="N713" s="10">
        <v>33406.269999999997</v>
      </c>
      <c r="O713" s="10">
        <v>140852432</v>
      </c>
      <c r="P713" s="10">
        <v>140843837.40000001</v>
      </c>
      <c r="Q713" s="10">
        <v>8594.5499999999993</v>
      </c>
      <c r="R713" s="10">
        <v>8930986.1400000006</v>
      </c>
      <c r="S713" s="10">
        <v>25327938.620000001</v>
      </c>
      <c r="T713" s="10">
        <v>69205.850000000006</v>
      </c>
      <c r="U713" s="10">
        <v>32756.59</v>
      </c>
      <c r="V713" s="10">
        <v>11611.87</v>
      </c>
      <c r="W713" s="10">
        <v>6937.03</v>
      </c>
      <c r="X713" s="10">
        <v>2125.04</v>
      </c>
      <c r="Y713" s="9">
        <v>2952972</v>
      </c>
    </row>
    <row r="714" spans="1:25" ht="16.05" customHeight="1" x14ac:dyDescent="0.3">
      <c r="A714" s="2">
        <v>900</v>
      </c>
      <c r="B714" s="2">
        <v>13</v>
      </c>
      <c r="C714" s="2">
        <v>2024</v>
      </c>
      <c r="D714" s="3" t="s">
        <v>25</v>
      </c>
      <c r="E714" s="4">
        <v>6231</v>
      </c>
      <c r="F714" s="5">
        <v>196199090.40000001</v>
      </c>
      <c r="G714" s="5">
        <v>22994533.399999999</v>
      </c>
      <c r="H714" s="6">
        <v>11.72</v>
      </c>
      <c r="I714" s="6">
        <v>8.74</v>
      </c>
      <c r="J714" s="5">
        <v>3427.82</v>
      </c>
      <c r="K714" s="5">
        <v>18712.59</v>
      </c>
      <c r="L714" s="5">
        <v>196138035.80000001</v>
      </c>
      <c r="M714" s="5">
        <v>196188362.5</v>
      </c>
      <c r="N714" s="5">
        <v>61054.67</v>
      </c>
      <c r="O714" s="5">
        <v>196148955.80000001</v>
      </c>
      <c r="P714" s="5">
        <v>196137874</v>
      </c>
      <c r="Q714" s="5">
        <v>11081.79</v>
      </c>
      <c r="R714" s="5">
        <v>17147800.5</v>
      </c>
      <c r="S714" s="5">
        <v>5846732.9000000004</v>
      </c>
      <c r="T714" s="5">
        <v>27058.04</v>
      </c>
      <c r="U714" s="5">
        <v>26903.439999999999</v>
      </c>
      <c r="V714" s="5">
        <v>9501.4500000000007</v>
      </c>
      <c r="W714" s="5">
        <v>1418.6</v>
      </c>
      <c r="X714" s="5">
        <v>2156.8200000000002</v>
      </c>
      <c r="Y714" s="4">
        <v>4110996</v>
      </c>
    </row>
    <row r="715" spans="1:25" ht="16.05" customHeight="1" x14ac:dyDescent="0.3">
      <c r="A715" s="7">
        <v>970</v>
      </c>
      <c r="B715" s="7">
        <v>14</v>
      </c>
      <c r="C715" s="7">
        <v>2024</v>
      </c>
      <c r="D715" s="8" t="s">
        <v>25</v>
      </c>
      <c r="E715" s="9">
        <v>4557</v>
      </c>
      <c r="F715" s="10">
        <v>167097311.69999999</v>
      </c>
      <c r="G715" s="10">
        <v>30110935.57</v>
      </c>
      <c r="H715" s="11">
        <v>18.02</v>
      </c>
      <c r="I715" s="11">
        <v>12.07</v>
      </c>
      <c r="J715" s="10">
        <v>8350.51</v>
      </c>
      <c r="K715" s="10">
        <v>15788.58</v>
      </c>
      <c r="L715" s="10">
        <v>167075755.5</v>
      </c>
      <c r="M715" s="10">
        <v>167080766</v>
      </c>
      <c r="N715" s="10">
        <v>21556.22</v>
      </c>
      <c r="O715" s="10">
        <v>167090532.40000001</v>
      </c>
      <c r="P715" s="10">
        <v>167083026.40000001</v>
      </c>
      <c r="Q715" s="10">
        <v>7505.99</v>
      </c>
      <c r="R715" s="10">
        <v>20168645.52</v>
      </c>
      <c r="S715" s="10">
        <v>9942290.0500000007</v>
      </c>
      <c r="T715" s="10">
        <v>12160.85</v>
      </c>
      <c r="U715" s="10">
        <v>54847.88</v>
      </c>
      <c r="V715" s="10">
        <v>8456.76</v>
      </c>
      <c r="W715" s="10">
        <v>6320.18</v>
      </c>
      <c r="X715" s="10">
        <v>2598.3000000000002</v>
      </c>
      <c r="Y715" s="9">
        <v>2556220</v>
      </c>
    </row>
    <row r="716" spans="1:25" ht="16.05" customHeight="1" x14ac:dyDescent="0.3">
      <c r="A716" s="2">
        <v>1040</v>
      </c>
      <c r="B716" s="2">
        <v>15</v>
      </c>
      <c r="C716" s="2">
        <v>2024</v>
      </c>
      <c r="D716" s="3" t="s">
        <v>25</v>
      </c>
      <c r="E716" s="4">
        <v>2460</v>
      </c>
      <c r="F716" s="5">
        <v>56094871.670000002</v>
      </c>
      <c r="G716" s="5">
        <v>10607540.23</v>
      </c>
      <c r="H716" s="6">
        <v>18.91</v>
      </c>
      <c r="I716" s="6">
        <v>16.25</v>
      </c>
      <c r="J716" s="5">
        <v>8961.25</v>
      </c>
      <c r="K716" s="5">
        <v>3546.98</v>
      </c>
      <c r="L716" s="5">
        <v>56009638.740000002</v>
      </c>
      <c r="M716" s="5">
        <v>56072001.75</v>
      </c>
      <c r="N716" s="5">
        <v>85232.93</v>
      </c>
      <c r="O716" s="5">
        <v>56017980.799999997</v>
      </c>
      <c r="P716" s="5">
        <v>56010881.890000001</v>
      </c>
      <c r="Q716" s="5">
        <v>7098.91</v>
      </c>
      <c r="R716" s="5">
        <v>9115416.6500000004</v>
      </c>
      <c r="S716" s="5">
        <v>1492123.59</v>
      </c>
      <c r="T716" s="5">
        <v>73193.98</v>
      </c>
      <c r="U716" s="5">
        <v>16116.12</v>
      </c>
      <c r="V716" s="5">
        <v>7714.77</v>
      </c>
      <c r="W716" s="5">
        <v>627.29</v>
      </c>
      <c r="X716" s="5">
        <v>1216.46</v>
      </c>
      <c r="Y716" s="4">
        <v>3610061</v>
      </c>
    </row>
    <row r="717" spans="1:25" ht="16.05" customHeight="1" x14ac:dyDescent="0.3">
      <c r="A717" s="7">
        <v>1110</v>
      </c>
      <c r="B717" s="7">
        <v>16</v>
      </c>
      <c r="C717" s="7">
        <v>2024</v>
      </c>
      <c r="D717" s="8" t="s">
        <v>25</v>
      </c>
      <c r="E717" s="9">
        <v>1930</v>
      </c>
      <c r="F717" s="10">
        <v>113308345.2</v>
      </c>
      <c r="G717" s="10">
        <v>19851622.079999998</v>
      </c>
      <c r="H717" s="11">
        <v>17.52</v>
      </c>
      <c r="I717" s="11">
        <v>11.2</v>
      </c>
      <c r="J717" s="10">
        <v>14924.15</v>
      </c>
      <c r="K717" s="10">
        <v>14255.79</v>
      </c>
      <c r="L717" s="10">
        <v>113233243.40000001</v>
      </c>
      <c r="M717" s="10">
        <v>113295101.7</v>
      </c>
      <c r="N717" s="10">
        <v>75101.8</v>
      </c>
      <c r="O717" s="10">
        <v>113244965.7</v>
      </c>
      <c r="P717" s="10">
        <v>113235175.8</v>
      </c>
      <c r="Q717" s="10">
        <v>9789.93</v>
      </c>
      <c r="R717" s="10">
        <v>12690534.67</v>
      </c>
      <c r="S717" s="10">
        <v>7161087.4199999999</v>
      </c>
      <c r="T717" s="10">
        <v>13705.08</v>
      </c>
      <c r="U717" s="10">
        <v>13133.56</v>
      </c>
      <c r="V717" s="10">
        <v>6402.53</v>
      </c>
      <c r="W717" s="10">
        <v>5319.75</v>
      </c>
      <c r="X717" s="10">
        <v>3709.17</v>
      </c>
      <c r="Y717" s="9">
        <v>2417703</v>
      </c>
    </row>
    <row r="718" spans="1:25" ht="16.05" customHeight="1" x14ac:dyDescent="0.3">
      <c r="A718" s="2">
        <v>1180</v>
      </c>
      <c r="B718" s="2">
        <v>17</v>
      </c>
      <c r="C718" s="2">
        <v>2024</v>
      </c>
      <c r="D718" s="3" t="s">
        <v>25</v>
      </c>
      <c r="E718" s="4">
        <v>239</v>
      </c>
      <c r="F718" s="5">
        <v>4926246.5599999996</v>
      </c>
      <c r="G718" s="5">
        <v>500999.28</v>
      </c>
      <c r="H718" s="6">
        <v>10.17</v>
      </c>
      <c r="I718" s="6">
        <v>9.02</v>
      </c>
      <c r="J718" s="5">
        <v>3690.96</v>
      </c>
      <c r="K718" s="5">
        <v>10789.49</v>
      </c>
      <c r="L718" s="5">
        <v>4873252.2699999996</v>
      </c>
      <c r="M718" s="5">
        <v>4921298.92</v>
      </c>
      <c r="N718" s="5">
        <v>52994.29</v>
      </c>
      <c r="O718" s="5">
        <v>4883103.5599999996</v>
      </c>
      <c r="P718" s="5">
        <v>4875075.97</v>
      </c>
      <c r="Q718" s="5">
        <v>8027.59</v>
      </c>
      <c r="R718" s="5">
        <v>444347.44</v>
      </c>
      <c r="S718" s="5">
        <v>56651.839999999997</v>
      </c>
      <c r="T718" s="5">
        <v>36062.06</v>
      </c>
      <c r="U718" s="5">
        <v>7908.78</v>
      </c>
      <c r="V718" s="5">
        <v>7900.16</v>
      </c>
      <c r="W718" s="5">
        <v>1951.13</v>
      </c>
      <c r="X718" s="5">
        <v>3311.73</v>
      </c>
      <c r="Y718" s="4">
        <v>1318468</v>
      </c>
    </row>
    <row r="719" spans="1:25" ht="16.05" customHeight="1" x14ac:dyDescent="0.3">
      <c r="A719" s="7">
        <v>1250</v>
      </c>
      <c r="B719" s="7">
        <v>18</v>
      </c>
      <c r="C719" s="7">
        <v>2024</v>
      </c>
      <c r="D719" s="8" t="s">
        <v>25</v>
      </c>
      <c r="E719" s="9">
        <v>4651</v>
      </c>
      <c r="F719" s="10">
        <v>312767789.10000002</v>
      </c>
      <c r="G719" s="10">
        <v>36937875.890000001</v>
      </c>
      <c r="H719" s="11">
        <v>11.81</v>
      </c>
      <c r="I719" s="11">
        <v>16.940000000000001</v>
      </c>
      <c r="J719" s="10">
        <v>12808.44</v>
      </c>
      <c r="K719" s="10">
        <v>17079.259999999998</v>
      </c>
      <c r="L719" s="10">
        <v>312668668.89999998</v>
      </c>
      <c r="M719" s="10">
        <v>312743599.30000001</v>
      </c>
      <c r="N719" s="10">
        <v>99120.2</v>
      </c>
      <c r="O719" s="10">
        <v>312681075</v>
      </c>
      <c r="P719" s="10">
        <v>312676410.30000001</v>
      </c>
      <c r="Q719" s="10">
        <v>4664.72</v>
      </c>
      <c r="R719" s="10">
        <v>52982863.469999999</v>
      </c>
      <c r="S719" s="10">
        <v>-16044987.58</v>
      </c>
      <c r="T719" s="10">
        <v>33097.370000000003</v>
      </c>
      <c r="U719" s="10">
        <v>47271.5</v>
      </c>
      <c r="V719" s="10">
        <v>11074.8</v>
      </c>
      <c r="W719" s="10">
        <v>1331.35</v>
      </c>
      <c r="X719" s="10">
        <v>4859.3999999999996</v>
      </c>
      <c r="Y719" s="9">
        <v>2334045</v>
      </c>
    </row>
    <row r="720" spans="1:25" ht="16.05" customHeight="1" x14ac:dyDescent="0.3">
      <c r="A720" s="2">
        <v>1320</v>
      </c>
      <c r="B720" s="2">
        <v>19</v>
      </c>
      <c r="C720" s="2">
        <v>2024</v>
      </c>
      <c r="D720" s="3" t="s">
        <v>25</v>
      </c>
      <c r="E720" s="4">
        <v>6855</v>
      </c>
      <c r="F720" s="5">
        <v>138288076.5</v>
      </c>
      <c r="G720" s="5">
        <v>29123468.91</v>
      </c>
      <c r="H720" s="6">
        <v>21.06</v>
      </c>
      <c r="I720" s="6">
        <v>15.12</v>
      </c>
      <c r="J720" s="5">
        <v>2521.0500000000002</v>
      </c>
      <c r="K720" s="5">
        <v>3800.47</v>
      </c>
      <c r="L720" s="5">
        <v>138245416.80000001</v>
      </c>
      <c r="M720" s="5">
        <v>138263857</v>
      </c>
      <c r="N720" s="5">
        <v>42659.75</v>
      </c>
      <c r="O720" s="5">
        <v>138257012</v>
      </c>
      <c r="P720" s="5">
        <v>138251071.69999999</v>
      </c>
      <c r="Q720" s="5">
        <v>5940.29</v>
      </c>
      <c r="R720" s="5">
        <v>20909157.170000002</v>
      </c>
      <c r="S720" s="5">
        <v>8214311.7400000002</v>
      </c>
      <c r="T720" s="5">
        <v>93571.839999999997</v>
      </c>
      <c r="U720" s="5">
        <v>37016.559999999998</v>
      </c>
      <c r="V720" s="5">
        <v>8513.51</v>
      </c>
      <c r="W720" s="5">
        <v>3081.71</v>
      </c>
      <c r="X720" s="5">
        <v>2371.7399999999998</v>
      </c>
      <c r="Y720" s="4">
        <v>4632252</v>
      </c>
    </row>
    <row r="721" spans="1:25" ht="16.05" customHeight="1" x14ac:dyDescent="0.3">
      <c r="A721" s="7">
        <v>1390</v>
      </c>
      <c r="B721" s="7">
        <v>20</v>
      </c>
      <c r="C721" s="7">
        <v>2024</v>
      </c>
      <c r="D721" s="8" t="s">
        <v>25</v>
      </c>
      <c r="E721" s="9">
        <v>4194</v>
      </c>
      <c r="F721" s="10">
        <v>30482685.120000001</v>
      </c>
      <c r="G721" s="10">
        <v>7727360.6799999997</v>
      </c>
      <c r="H721" s="11">
        <v>25.35</v>
      </c>
      <c r="I721" s="11">
        <v>18.989999999999998</v>
      </c>
      <c r="J721" s="10">
        <v>1231.3599999999999</v>
      </c>
      <c r="K721" s="10">
        <v>11966.09</v>
      </c>
      <c r="L721" s="10">
        <v>30393354.859999999</v>
      </c>
      <c r="M721" s="10">
        <v>30467963.789999999</v>
      </c>
      <c r="N721" s="10">
        <v>89330.26</v>
      </c>
      <c r="O721" s="10">
        <v>30411884.870000001</v>
      </c>
      <c r="P721" s="10">
        <v>30398404.829999998</v>
      </c>
      <c r="Q721" s="10">
        <v>13480.04</v>
      </c>
      <c r="R721" s="10">
        <v>5788661.9000000004</v>
      </c>
      <c r="S721" s="10">
        <v>1938698.77</v>
      </c>
      <c r="T721" s="10">
        <v>76864.33</v>
      </c>
      <c r="U721" s="10">
        <v>24899.57</v>
      </c>
      <c r="V721" s="10">
        <v>11718.63</v>
      </c>
      <c r="W721" s="10">
        <v>6811.38</v>
      </c>
      <c r="X721" s="10">
        <v>4839.3500000000004</v>
      </c>
      <c r="Y721" s="9">
        <v>1894803</v>
      </c>
    </row>
    <row r="722" spans="1:25" ht="16.05" customHeight="1" x14ac:dyDescent="0.3">
      <c r="A722" s="2">
        <v>1460</v>
      </c>
      <c r="B722" s="2">
        <v>21</v>
      </c>
      <c r="C722" s="2">
        <v>2024</v>
      </c>
      <c r="D722" s="3" t="s">
        <v>25</v>
      </c>
      <c r="E722" s="4">
        <v>5624</v>
      </c>
      <c r="F722" s="5">
        <v>204286924.30000001</v>
      </c>
      <c r="G722" s="5">
        <v>40407953.619999997</v>
      </c>
      <c r="H722" s="6">
        <v>19.78</v>
      </c>
      <c r="I722" s="6">
        <v>6.33</v>
      </c>
      <c r="J722" s="5">
        <v>4936.67</v>
      </c>
      <c r="K722" s="5">
        <v>18947.09</v>
      </c>
      <c r="L722" s="5">
        <v>204204169.40000001</v>
      </c>
      <c r="M722" s="5">
        <v>204267146.80000001</v>
      </c>
      <c r="N722" s="5">
        <v>82754.850000000006</v>
      </c>
      <c r="O722" s="5">
        <v>204210403.90000001</v>
      </c>
      <c r="P722" s="5">
        <v>204195687.09999999</v>
      </c>
      <c r="Q722" s="5">
        <v>14716.71</v>
      </c>
      <c r="R722" s="5">
        <v>12931362.310000001</v>
      </c>
      <c r="S722" s="5">
        <v>27476591.309999999</v>
      </c>
      <c r="T722" s="5">
        <v>80288.34</v>
      </c>
      <c r="U722" s="5">
        <v>17181.580000000002</v>
      </c>
      <c r="V722" s="5">
        <v>1044.32</v>
      </c>
      <c r="W722" s="5">
        <v>5190.1099999999997</v>
      </c>
      <c r="X722" s="5">
        <v>1017.34</v>
      </c>
      <c r="Y722" s="4">
        <v>3942441</v>
      </c>
    </row>
    <row r="723" spans="1:25" ht="16.05" customHeight="1" x14ac:dyDescent="0.3">
      <c r="A723" s="7">
        <v>1530</v>
      </c>
      <c r="B723" s="7">
        <v>22</v>
      </c>
      <c r="C723" s="7">
        <v>2024</v>
      </c>
      <c r="D723" s="8" t="s">
        <v>25</v>
      </c>
      <c r="E723" s="9">
        <v>1558</v>
      </c>
      <c r="F723" s="10">
        <v>62662217.25</v>
      </c>
      <c r="G723" s="10">
        <v>4530478.3099999996</v>
      </c>
      <c r="H723" s="11">
        <v>7.23</v>
      </c>
      <c r="I723" s="11">
        <v>14.86</v>
      </c>
      <c r="J723" s="10">
        <v>14924</v>
      </c>
      <c r="K723" s="10">
        <v>8659.64</v>
      </c>
      <c r="L723" s="10">
        <v>62595119.509999998</v>
      </c>
      <c r="M723" s="10">
        <v>62649478.869999997</v>
      </c>
      <c r="N723" s="10">
        <v>67097.740000000005</v>
      </c>
      <c r="O723" s="10">
        <v>62600123.170000002</v>
      </c>
      <c r="P723" s="10">
        <v>62591380.590000004</v>
      </c>
      <c r="Q723" s="10">
        <v>8742.58</v>
      </c>
      <c r="R723" s="10">
        <v>9311605.4800000004</v>
      </c>
      <c r="S723" s="10">
        <v>-4781127.18</v>
      </c>
      <c r="T723" s="10">
        <v>51998.92</v>
      </c>
      <c r="U723" s="10">
        <v>7326.91</v>
      </c>
      <c r="V723" s="10">
        <v>1728</v>
      </c>
      <c r="W723" s="10">
        <v>3275.66</v>
      </c>
      <c r="X723" s="10">
        <v>3016.94</v>
      </c>
      <c r="Y723" s="9">
        <v>2343236</v>
      </c>
    </row>
    <row r="724" spans="1:25" ht="16.05" customHeight="1" x14ac:dyDescent="0.3">
      <c r="A724" s="2">
        <v>1600</v>
      </c>
      <c r="B724" s="2">
        <v>23</v>
      </c>
      <c r="C724" s="2">
        <v>2024</v>
      </c>
      <c r="D724" s="3" t="s">
        <v>25</v>
      </c>
      <c r="E724" s="4">
        <v>5484</v>
      </c>
      <c r="F724" s="5">
        <v>163395785.90000001</v>
      </c>
      <c r="G724" s="5">
        <v>33594173.579999998</v>
      </c>
      <c r="H724" s="6">
        <v>20.56</v>
      </c>
      <c r="I724" s="6">
        <v>5.37</v>
      </c>
      <c r="J724" s="5">
        <v>11582.05</v>
      </c>
      <c r="K724" s="5">
        <v>14994.86</v>
      </c>
      <c r="L724" s="5">
        <v>163303609.69999999</v>
      </c>
      <c r="M724" s="5">
        <v>163383810.30000001</v>
      </c>
      <c r="N724" s="5">
        <v>92176.13</v>
      </c>
      <c r="O724" s="5">
        <v>163306850.40000001</v>
      </c>
      <c r="P724" s="5">
        <v>163291901.40000001</v>
      </c>
      <c r="Q724" s="5">
        <v>14949</v>
      </c>
      <c r="R724" s="5">
        <v>8774353.6999999993</v>
      </c>
      <c r="S724" s="5">
        <v>24819819.870000001</v>
      </c>
      <c r="T724" s="5">
        <v>82505.48</v>
      </c>
      <c r="U724" s="5">
        <v>22881.64</v>
      </c>
      <c r="V724" s="5">
        <v>2621.29</v>
      </c>
      <c r="W724" s="5">
        <v>619.32000000000005</v>
      </c>
      <c r="X724" s="5">
        <v>2008.75</v>
      </c>
      <c r="Y724" s="4">
        <v>4533732</v>
      </c>
    </row>
    <row r="725" spans="1:25" ht="16.05" customHeight="1" x14ac:dyDescent="0.3">
      <c r="A725" s="7">
        <v>1670</v>
      </c>
      <c r="B725" s="7">
        <v>24</v>
      </c>
      <c r="C725" s="7">
        <v>2024</v>
      </c>
      <c r="D725" s="8" t="s">
        <v>25</v>
      </c>
      <c r="E725" s="9">
        <v>6309</v>
      </c>
      <c r="F725" s="10">
        <v>79325359.010000005</v>
      </c>
      <c r="G725" s="10">
        <v>9281067</v>
      </c>
      <c r="H725" s="11">
        <v>11.7</v>
      </c>
      <c r="I725" s="11">
        <v>14.23</v>
      </c>
      <c r="J725" s="10">
        <v>11141.15</v>
      </c>
      <c r="K725" s="10">
        <v>12504.89</v>
      </c>
      <c r="L725" s="10">
        <v>79246532.670000002</v>
      </c>
      <c r="M725" s="10">
        <v>79309709.900000006</v>
      </c>
      <c r="N725" s="10">
        <v>78826.34</v>
      </c>
      <c r="O725" s="10">
        <v>79255127.049999997</v>
      </c>
      <c r="P725" s="10">
        <v>79252107.480000004</v>
      </c>
      <c r="Q725" s="10">
        <v>3019.57</v>
      </c>
      <c r="R725" s="10">
        <v>11287998.59</v>
      </c>
      <c r="S725" s="10">
        <v>-2006931.58</v>
      </c>
      <c r="T725" s="10">
        <v>45608.39</v>
      </c>
      <c r="U725" s="10">
        <v>29331.49</v>
      </c>
      <c r="V725" s="10">
        <v>2044.04</v>
      </c>
      <c r="W725" s="10">
        <v>6550.34</v>
      </c>
      <c r="X725" s="10">
        <v>2329.83</v>
      </c>
      <c r="Y725" s="9">
        <v>3375644</v>
      </c>
    </row>
    <row r="726" spans="1:25" ht="16.05" customHeight="1" x14ac:dyDescent="0.3">
      <c r="A726" s="2">
        <v>1740</v>
      </c>
      <c r="B726" s="2">
        <v>25</v>
      </c>
      <c r="C726" s="2">
        <v>2024</v>
      </c>
      <c r="D726" s="3" t="s">
        <v>25</v>
      </c>
      <c r="E726" s="4">
        <v>6333</v>
      </c>
      <c r="F726" s="5">
        <v>329475479.19999999</v>
      </c>
      <c r="G726" s="5">
        <v>17890518.52</v>
      </c>
      <c r="H726" s="6">
        <v>5.43</v>
      </c>
      <c r="I726" s="6">
        <v>19.45</v>
      </c>
      <c r="J726" s="5">
        <v>2378.84</v>
      </c>
      <c r="K726" s="5">
        <v>17111.5</v>
      </c>
      <c r="L726" s="5">
        <v>329380808.30000001</v>
      </c>
      <c r="M726" s="5">
        <v>329457466.69999999</v>
      </c>
      <c r="N726" s="5">
        <v>94670.94</v>
      </c>
      <c r="O726" s="5">
        <v>329393270</v>
      </c>
      <c r="P726" s="5">
        <v>329392067.30000001</v>
      </c>
      <c r="Q726" s="5">
        <v>1202.75</v>
      </c>
      <c r="R726" s="5">
        <v>64082980.710000001</v>
      </c>
      <c r="S726" s="5">
        <v>-46192462.189999998</v>
      </c>
      <c r="T726" s="5">
        <v>42138.52</v>
      </c>
      <c r="U726" s="5">
        <v>24545.84</v>
      </c>
      <c r="V726" s="5">
        <v>10258.040000000001</v>
      </c>
      <c r="W726" s="5">
        <v>2203.71</v>
      </c>
      <c r="X726" s="5">
        <v>3347.38</v>
      </c>
      <c r="Y726" s="4">
        <v>3092891</v>
      </c>
    </row>
    <row r="727" spans="1:25" ht="16.05" customHeight="1" x14ac:dyDescent="0.3">
      <c r="A727" s="7">
        <v>1810</v>
      </c>
      <c r="B727" s="7">
        <v>26</v>
      </c>
      <c r="C727" s="7">
        <v>2024</v>
      </c>
      <c r="D727" s="8" t="s">
        <v>25</v>
      </c>
      <c r="E727" s="9">
        <v>153</v>
      </c>
      <c r="F727" s="10">
        <v>4745111</v>
      </c>
      <c r="G727" s="10">
        <v>1227560.22</v>
      </c>
      <c r="H727" s="11">
        <v>25.87</v>
      </c>
      <c r="I727" s="11">
        <v>19.3</v>
      </c>
      <c r="J727" s="10">
        <v>9955.67</v>
      </c>
      <c r="K727" s="10">
        <v>19402.009999999998</v>
      </c>
      <c r="L727" s="10">
        <v>4733031.28</v>
      </c>
      <c r="M727" s="10">
        <v>4722809.42</v>
      </c>
      <c r="N727" s="10">
        <v>12079.72</v>
      </c>
      <c r="O727" s="10">
        <v>4744416.16</v>
      </c>
      <c r="P727" s="10">
        <v>4737315.2</v>
      </c>
      <c r="Q727" s="10">
        <v>7100.96</v>
      </c>
      <c r="R727" s="10">
        <v>915806.42</v>
      </c>
      <c r="S727" s="10">
        <v>311753.78999999998</v>
      </c>
      <c r="T727" s="10">
        <v>63859.21</v>
      </c>
      <c r="U727" s="10">
        <v>23057.119999999999</v>
      </c>
      <c r="V727" s="10">
        <v>3599.44</v>
      </c>
      <c r="W727" s="10">
        <v>7785.44</v>
      </c>
      <c r="X727" s="10">
        <v>1597.07</v>
      </c>
      <c r="Y727" s="9">
        <v>2741380</v>
      </c>
    </row>
    <row r="728" spans="1:25" ht="16.05" customHeight="1" x14ac:dyDescent="0.3">
      <c r="A728" s="2">
        <v>1880</v>
      </c>
      <c r="B728" s="2">
        <v>27</v>
      </c>
      <c r="C728" s="2">
        <v>2024</v>
      </c>
      <c r="D728" s="3" t="s">
        <v>25</v>
      </c>
      <c r="E728" s="4">
        <v>3954</v>
      </c>
      <c r="F728" s="5">
        <v>75150183.019999996</v>
      </c>
      <c r="G728" s="5">
        <v>8454395.5899999999</v>
      </c>
      <c r="H728" s="6">
        <v>11.25</v>
      </c>
      <c r="I728" s="6">
        <v>7</v>
      </c>
      <c r="J728" s="5">
        <v>9337.16</v>
      </c>
      <c r="K728" s="5">
        <v>17951.27</v>
      </c>
      <c r="L728" s="5">
        <v>75071380.469999999</v>
      </c>
      <c r="M728" s="5">
        <v>75137159.950000003</v>
      </c>
      <c r="N728" s="5">
        <v>78802.55</v>
      </c>
      <c r="O728" s="5">
        <v>75080871.159999996</v>
      </c>
      <c r="P728" s="5">
        <v>75073783.760000005</v>
      </c>
      <c r="Q728" s="5">
        <v>7087.4</v>
      </c>
      <c r="R728" s="5">
        <v>5260512.8099999996</v>
      </c>
      <c r="S728" s="5">
        <v>3193882.78</v>
      </c>
      <c r="T728" s="5">
        <v>11669.07</v>
      </c>
      <c r="U728" s="5">
        <v>6827.11</v>
      </c>
      <c r="V728" s="5">
        <v>7365.24</v>
      </c>
      <c r="W728" s="5">
        <v>2125.4499999999998</v>
      </c>
      <c r="X728" s="5">
        <v>3750.47</v>
      </c>
      <c r="Y728" s="4">
        <v>4963383</v>
      </c>
    </row>
    <row r="729" spans="1:25" ht="16.05" customHeight="1" x14ac:dyDescent="0.3">
      <c r="A729" s="7">
        <v>1950</v>
      </c>
      <c r="B729" s="7">
        <v>28</v>
      </c>
      <c r="C729" s="7">
        <v>2024</v>
      </c>
      <c r="D729" s="8" t="s">
        <v>25</v>
      </c>
      <c r="E729" s="9">
        <v>2564</v>
      </c>
      <c r="F729" s="10">
        <v>177775832.80000001</v>
      </c>
      <c r="G729" s="10">
        <v>39057350.460000001</v>
      </c>
      <c r="H729" s="11">
        <v>21.97</v>
      </c>
      <c r="I729" s="11">
        <v>9.07</v>
      </c>
      <c r="J729" s="10">
        <v>12948.72</v>
      </c>
      <c r="K729" s="10">
        <v>6748.08</v>
      </c>
      <c r="L729" s="10">
        <v>177758439.09999999</v>
      </c>
      <c r="M729" s="10">
        <v>177750640.19999999</v>
      </c>
      <c r="N729" s="10">
        <v>17393.7</v>
      </c>
      <c r="O729" s="10">
        <v>177771124</v>
      </c>
      <c r="P729" s="10">
        <v>177761362.90000001</v>
      </c>
      <c r="Q729" s="10">
        <v>9761.1299999999992</v>
      </c>
      <c r="R729" s="10">
        <v>16124268.029999999</v>
      </c>
      <c r="S729" s="10">
        <v>22933082.43</v>
      </c>
      <c r="T729" s="10">
        <v>63120.3</v>
      </c>
      <c r="U729" s="10">
        <v>48989.89</v>
      </c>
      <c r="V729" s="10">
        <v>11636.39</v>
      </c>
      <c r="W729" s="10">
        <v>1048.55</v>
      </c>
      <c r="X729" s="10">
        <v>3381.9</v>
      </c>
      <c r="Y729" s="9">
        <v>1380817</v>
      </c>
    </row>
    <row r="730" spans="1:25" ht="16.05" customHeight="1" x14ac:dyDescent="0.3">
      <c r="A730" s="2">
        <v>2020</v>
      </c>
      <c r="B730" s="2">
        <v>29</v>
      </c>
      <c r="C730" s="2">
        <v>2024</v>
      </c>
      <c r="D730" s="3" t="s">
        <v>25</v>
      </c>
      <c r="E730" s="4">
        <v>2979</v>
      </c>
      <c r="F730" s="5">
        <v>90786335.079999998</v>
      </c>
      <c r="G730" s="5">
        <v>11021461.08</v>
      </c>
      <c r="H730" s="6">
        <v>12.14</v>
      </c>
      <c r="I730" s="6">
        <v>16.760000000000002</v>
      </c>
      <c r="J730" s="5">
        <v>12295.04</v>
      </c>
      <c r="K730" s="5">
        <v>17486.34</v>
      </c>
      <c r="L730" s="5">
        <v>90690679.200000003</v>
      </c>
      <c r="M730" s="5">
        <v>90779493.290000007</v>
      </c>
      <c r="N730" s="5">
        <v>95655.88</v>
      </c>
      <c r="O730" s="5">
        <v>90707624.260000005</v>
      </c>
      <c r="P730" s="5">
        <v>90704611.680000007</v>
      </c>
      <c r="Q730" s="5">
        <v>3012.58</v>
      </c>
      <c r="R730" s="5">
        <v>15215789.76</v>
      </c>
      <c r="S730" s="5">
        <v>-4194328.68</v>
      </c>
      <c r="T730" s="5">
        <v>23751.46</v>
      </c>
      <c r="U730" s="5">
        <v>16221.34</v>
      </c>
      <c r="V730" s="5">
        <v>10196.16</v>
      </c>
      <c r="W730" s="5">
        <v>6748.9</v>
      </c>
      <c r="X730" s="5">
        <v>1430.96</v>
      </c>
      <c r="Y730" s="4">
        <v>4388742</v>
      </c>
    </row>
    <row r="731" spans="1:25" ht="16.05" customHeight="1" x14ac:dyDescent="0.3">
      <c r="A731" s="7">
        <v>2090</v>
      </c>
      <c r="B731" s="7">
        <v>30</v>
      </c>
      <c r="C731" s="7">
        <v>2024</v>
      </c>
      <c r="D731" s="8" t="s">
        <v>25</v>
      </c>
      <c r="E731" s="9">
        <v>1865</v>
      </c>
      <c r="F731" s="10">
        <v>117098034.40000001</v>
      </c>
      <c r="G731" s="10">
        <v>14110313.140000001</v>
      </c>
      <c r="H731" s="11">
        <v>12.05</v>
      </c>
      <c r="I731" s="11">
        <v>6.77</v>
      </c>
      <c r="J731" s="10">
        <v>2467.7800000000002</v>
      </c>
      <c r="K731" s="10">
        <v>17228.88</v>
      </c>
      <c r="L731" s="10">
        <v>117061585.2</v>
      </c>
      <c r="M731" s="10">
        <v>117092782.2</v>
      </c>
      <c r="N731" s="10">
        <v>36449.230000000003</v>
      </c>
      <c r="O731" s="10">
        <v>117076604.40000001</v>
      </c>
      <c r="P731" s="10">
        <v>117073665.40000001</v>
      </c>
      <c r="Q731" s="10">
        <v>2939.01</v>
      </c>
      <c r="R731" s="10">
        <v>7927536.9299999997</v>
      </c>
      <c r="S731" s="10">
        <v>6182776.2199999997</v>
      </c>
      <c r="T731" s="10">
        <v>59240.56</v>
      </c>
      <c r="U731" s="10">
        <v>16800.54</v>
      </c>
      <c r="V731" s="10">
        <v>11890.31</v>
      </c>
      <c r="W731" s="10">
        <v>3128.89</v>
      </c>
      <c r="X731" s="10">
        <v>3033.88</v>
      </c>
      <c r="Y731" s="9">
        <v>2859174</v>
      </c>
    </row>
    <row r="732" spans="1:25" ht="16.05" customHeight="1" x14ac:dyDescent="0.3">
      <c r="A732" s="2">
        <v>2160</v>
      </c>
      <c r="B732" s="2">
        <v>31</v>
      </c>
      <c r="C732" s="2">
        <v>2024</v>
      </c>
      <c r="D732" s="3" t="s">
        <v>25</v>
      </c>
      <c r="E732" s="4">
        <v>6930</v>
      </c>
      <c r="F732" s="5">
        <v>243400395.69999999</v>
      </c>
      <c r="G732" s="5">
        <v>25435341.350000001</v>
      </c>
      <c r="H732" s="6">
        <v>10.45</v>
      </c>
      <c r="I732" s="6">
        <v>18.5</v>
      </c>
      <c r="J732" s="5">
        <v>7566.98</v>
      </c>
      <c r="K732" s="5">
        <v>5909.06</v>
      </c>
      <c r="L732" s="5">
        <v>243368951</v>
      </c>
      <c r="M732" s="5">
        <v>243390437.19999999</v>
      </c>
      <c r="N732" s="5">
        <v>31444.77</v>
      </c>
      <c r="O732" s="5">
        <v>243377727.90000001</v>
      </c>
      <c r="P732" s="5">
        <v>243374615.40000001</v>
      </c>
      <c r="Q732" s="5">
        <v>3112.55</v>
      </c>
      <c r="R732" s="5">
        <v>45029073.210000001</v>
      </c>
      <c r="S732" s="5">
        <v>-19593731.859999999</v>
      </c>
      <c r="T732" s="5">
        <v>61913.06</v>
      </c>
      <c r="U732" s="5">
        <v>28700.240000000002</v>
      </c>
      <c r="V732" s="5">
        <v>2120.4699999999998</v>
      </c>
      <c r="W732" s="5">
        <v>6656.52</v>
      </c>
      <c r="X732" s="5">
        <v>3578.51</v>
      </c>
      <c r="Y732" s="4">
        <v>4967675</v>
      </c>
    </row>
    <row r="733" spans="1:25" ht="16.05" customHeight="1" x14ac:dyDescent="0.3">
      <c r="A733" s="7">
        <v>2230</v>
      </c>
      <c r="B733" s="7">
        <v>32</v>
      </c>
      <c r="C733" s="7">
        <v>2024</v>
      </c>
      <c r="D733" s="8" t="s">
        <v>25</v>
      </c>
      <c r="E733" s="9">
        <v>3576</v>
      </c>
      <c r="F733" s="10">
        <v>134781777.5</v>
      </c>
      <c r="G733" s="10">
        <v>12386445.35</v>
      </c>
      <c r="H733" s="11">
        <v>9.19</v>
      </c>
      <c r="I733" s="11">
        <v>6.68</v>
      </c>
      <c r="J733" s="10">
        <v>3950.4</v>
      </c>
      <c r="K733" s="10">
        <v>18377.740000000002</v>
      </c>
      <c r="L733" s="10">
        <v>134706400.80000001</v>
      </c>
      <c r="M733" s="10">
        <v>134770494.69999999</v>
      </c>
      <c r="N733" s="10">
        <v>75376.7</v>
      </c>
      <c r="O733" s="10">
        <v>134715893.30000001</v>
      </c>
      <c r="P733" s="10">
        <v>134713375.59999999</v>
      </c>
      <c r="Q733" s="10">
        <v>2517.7199999999998</v>
      </c>
      <c r="R733" s="10">
        <v>9003422.7300000004</v>
      </c>
      <c r="S733" s="10">
        <v>3383022.61</v>
      </c>
      <c r="T733" s="10">
        <v>117876.71</v>
      </c>
      <c r="U733" s="10">
        <v>39342.58</v>
      </c>
      <c r="V733" s="10">
        <v>3967.09</v>
      </c>
      <c r="W733" s="10">
        <v>5525.46</v>
      </c>
      <c r="X733" s="10">
        <v>4296.12</v>
      </c>
      <c r="Y733" s="9">
        <v>4065700</v>
      </c>
    </row>
    <row r="734" spans="1:25" ht="16.05" customHeight="1" x14ac:dyDescent="0.3">
      <c r="A734" s="2">
        <v>2300</v>
      </c>
      <c r="B734" s="2">
        <v>33</v>
      </c>
      <c r="C734" s="2">
        <v>2024</v>
      </c>
      <c r="D734" s="3" t="s">
        <v>25</v>
      </c>
      <c r="E734" s="4">
        <v>4881</v>
      </c>
      <c r="F734" s="5">
        <v>41271756.909999996</v>
      </c>
      <c r="G734" s="5">
        <v>2241056.4</v>
      </c>
      <c r="H734" s="6">
        <v>5.43</v>
      </c>
      <c r="I734" s="6">
        <v>9.3699999999999992</v>
      </c>
      <c r="J734" s="5">
        <v>5122.1400000000003</v>
      </c>
      <c r="K734" s="5">
        <v>15586.53</v>
      </c>
      <c r="L734" s="5">
        <v>41206700.009999998</v>
      </c>
      <c r="M734" s="5">
        <v>41263692.670000002</v>
      </c>
      <c r="N734" s="5">
        <v>65056.9</v>
      </c>
      <c r="O734" s="5">
        <v>41210543.869999997</v>
      </c>
      <c r="P734" s="5">
        <v>41202811.719999999</v>
      </c>
      <c r="Q734" s="5">
        <v>7732.15</v>
      </c>
      <c r="R734" s="5">
        <v>3867163.62</v>
      </c>
      <c r="S734" s="5">
        <v>-1626107.22</v>
      </c>
      <c r="T734" s="5">
        <v>104518.51</v>
      </c>
      <c r="U734" s="5">
        <v>14452.36</v>
      </c>
      <c r="V734" s="5">
        <v>2891.17</v>
      </c>
      <c r="W734" s="5">
        <v>952.69</v>
      </c>
      <c r="X734" s="5">
        <v>3451.1</v>
      </c>
      <c r="Y734" s="4">
        <v>1850536</v>
      </c>
    </row>
    <row r="735" spans="1:25" ht="16.05" customHeight="1" x14ac:dyDescent="0.3">
      <c r="A735" s="7">
        <v>2370</v>
      </c>
      <c r="B735" s="7">
        <v>34</v>
      </c>
      <c r="C735" s="7">
        <v>2024</v>
      </c>
      <c r="D735" s="8" t="s">
        <v>25</v>
      </c>
      <c r="E735" s="9">
        <v>325</v>
      </c>
      <c r="F735" s="10">
        <v>20337522.84</v>
      </c>
      <c r="G735" s="10">
        <v>3005885.88</v>
      </c>
      <c r="H735" s="11">
        <v>14.78</v>
      </c>
      <c r="I735" s="11">
        <v>16</v>
      </c>
      <c r="J735" s="10">
        <v>10489.61</v>
      </c>
      <c r="K735" s="10">
        <v>4944.47</v>
      </c>
      <c r="L735" s="10">
        <v>20304676.010000002</v>
      </c>
      <c r="M735" s="10">
        <v>20315259.59</v>
      </c>
      <c r="N735" s="10">
        <v>32846.83</v>
      </c>
      <c r="O735" s="10">
        <v>20313964.370000001</v>
      </c>
      <c r="P735" s="10">
        <v>20304045.550000001</v>
      </c>
      <c r="Q735" s="10">
        <v>9918.82</v>
      </c>
      <c r="R735" s="10">
        <v>3254003.66</v>
      </c>
      <c r="S735" s="10">
        <v>-248117.78</v>
      </c>
      <c r="T735" s="10">
        <v>63809.03</v>
      </c>
      <c r="U735" s="10">
        <v>37268.79</v>
      </c>
      <c r="V735" s="10">
        <v>1302</v>
      </c>
      <c r="W735" s="10">
        <v>7986.36</v>
      </c>
      <c r="X735" s="10">
        <v>2162.67</v>
      </c>
      <c r="Y735" s="9">
        <v>1667464</v>
      </c>
    </row>
    <row r="736" spans="1:25" ht="16.05" customHeight="1" x14ac:dyDescent="0.3">
      <c r="A736" s="2">
        <v>2440</v>
      </c>
      <c r="B736" s="2">
        <v>35</v>
      </c>
      <c r="C736" s="2">
        <v>2024</v>
      </c>
      <c r="D736" s="3" t="s">
        <v>25</v>
      </c>
      <c r="E736" s="4">
        <v>5914</v>
      </c>
      <c r="F736" s="5">
        <v>396570138.89999998</v>
      </c>
      <c r="G736" s="5">
        <v>36127539.649999999</v>
      </c>
      <c r="H736" s="6">
        <v>9.11</v>
      </c>
      <c r="I736" s="6">
        <v>5.32</v>
      </c>
      <c r="J736" s="5">
        <v>3617.63</v>
      </c>
      <c r="K736" s="5">
        <v>8181.59</v>
      </c>
      <c r="L736" s="5">
        <v>396533769.89999998</v>
      </c>
      <c r="M736" s="5">
        <v>396565751.30000001</v>
      </c>
      <c r="N736" s="5">
        <v>36368.959999999999</v>
      </c>
      <c r="O736" s="5">
        <v>396550124.69999999</v>
      </c>
      <c r="P736" s="5">
        <v>396544361.60000002</v>
      </c>
      <c r="Q736" s="5">
        <v>5763.13</v>
      </c>
      <c r="R736" s="5">
        <v>21097531.390000001</v>
      </c>
      <c r="S736" s="5">
        <v>15030008.26</v>
      </c>
      <c r="T736" s="5">
        <v>106899.01</v>
      </c>
      <c r="U736" s="5">
        <v>25609.3</v>
      </c>
      <c r="V736" s="5">
        <v>11843.14</v>
      </c>
      <c r="W736" s="5">
        <v>4511.6499999999996</v>
      </c>
      <c r="X736" s="5">
        <v>3349.64</v>
      </c>
      <c r="Y736" s="4">
        <v>1632615</v>
      </c>
    </row>
    <row r="737" spans="1:25" ht="16.05" customHeight="1" x14ac:dyDescent="0.3">
      <c r="A737" s="7">
        <v>2510</v>
      </c>
      <c r="B737" s="7">
        <v>36</v>
      </c>
      <c r="C737" s="7">
        <v>2024</v>
      </c>
      <c r="D737" s="8" t="s">
        <v>25</v>
      </c>
      <c r="E737" s="9">
        <v>5452</v>
      </c>
      <c r="F737" s="10">
        <v>360594980.5</v>
      </c>
      <c r="G737" s="10">
        <v>85929783.849999994</v>
      </c>
      <c r="H737" s="11">
        <v>23.83</v>
      </c>
      <c r="I737" s="11">
        <v>14.57</v>
      </c>
      <c r="J737" s="10">
        <v>10019.780000000001</v>
      </c>
      <c r="K737" s="10">
        <v>5446.9</v>
      </c>
      <c r="L737" s="10">
        <v>360510202.80000001</v>
      </c>
      <c r="M737" s="10">
        <v>360573465</v>
      </c>
      <c r="N737" s="10">
        <v>84777.74</v>
      </c>
      <c r="O737" s="10">
        <v>360527222.5</v>
      </c>
      <c r="P737" s="10">
        <v>360516546.39999998</v>
      </c>
      <c r="Q737" s="10">
        <v>10676.03</v>
      </c>
      <c r="R737" s="10">
        <v>52538688.659999996</v>
      </c>
      <c r="S737" s="10">
        <v>33391095.190000001</v>
      </c>
      <c r="T737" s="10">
        <v>64573.33</v>
      </c>
      <c r="U737" s="10">
        <v>19014.63</v>
      </c>
      <c r="V737" s="10">
        <v>11497.96</v>
      </c>
      <c r="W737" s="10">
        <v>5521.74</v>
      </c>
      <c r="X737" s="10">
        <v>4642.5200000000004</v>
      </c>
      <c r="Y737" s="9">
        <v>4462613</v>
      </c>
    </row>
    <row r="738" spans="1:25" ht="16.05" customHeight="1" x14ac:dyDescent="0.3">
      <c r="A738" s="2">
        <v>2580</v>
      </c>
      <c r="B738" s="2">
        <v>37</v>
      </c>
      <c r="C738" s="2">
        <v>2024</v>
      </c>
      <c r="D738" s="3" t="s">
        <v>25</v>
      </c>
      <c r="E738" s="4">
        <v>1960</v>
      </c>
      <c r="F738" s="5">
        <v>42048571.200000003</v>
      </c>
      <c r="G738" s="5">
        <v>3805395.69</v>
      </c>
      <c r="H738" s="6">
        <v>9.0500000000000007</v>
      </c>
      <c r="I738" s="6">
        <v>5.75</v>
      </c>
      <c r="J738" s="5">
        <v>2250.2199999999998</v>
      </c>
      <c r="K738" s="5">
        <v>6782.24</v>
      </c>
      <c r="L738" s="5">
        <v>41973743.509999998</v>
      </c>
      <c r="M738" s="5">
        <v>42023527.409999996</v>
      </c>
      <c r="N738" s="5">
        <v>74827.69</v>
      </c>
      <c r="O738" s="5">
        <v>41981101.130000003</v>
      </c>
      <c r="P738" s="5">
        <v>41980097.359999999</v>
      </c>
      <c r="Q738" s="5">
        <v>1003.77</v>
      </c>
      <c r="R738" s="5">
        <v>2417792.84</v>
      </c>
      <c r="S738" s="5">
        <v>1387602.85</v>
      </c>
      <c r="T738" s="5">
        <v>78359.03</v>
      </c>
      <c r="U738" s="5">
        <v>13912.96</v>
      </c>
      <c r="V738" s="5">
        <v>4400.97</v>
      </c>
      <c r="W738" s="5">
        <v>2956.65</v>
      </c>
      <c r="X738" s="5">
        <v>3141.72</v>
      </c>
      <c r="Y738" s="4">
        <v>3917940</v>
      </c>
    </row>
    <row r="739" spans="1:25" ht="16.05" customHeight="1" x14ac:dyDescent="0.3">
      <c r="A739" s="7">
        <v>2650</v>
      </c>
      <c r="B739" s="7">
        <v>38</v>
      </c>
      <c r="C739" s="7">
        <v>2024</v>
      </c>
      <c r="D739" s="8" t="s">
        <v>25</v>
      </c>
      <c r="E739" s="9">
        <v>697</v>
      </c>
      <c r="F739" s="10">
        <v>36432727.640000001</v>
      </c>
      <c r="G739" s="10">
        <v>4914774.96</v>
      </c>
      <c r="H739" s="11">
        <v>13.49</v>
      </c>
      <c r="I739" s="11">
        <v>18.84</v>
      </c>
      <c r="J739" s="10">
        <v>6830.28</v>
      </c>
      <c r="K739" s="10">
        <v>19271.009999999998</v>
      </c>
      <c r="L739" s="10">
        <v>36387103.240000002</v>
      </c>
      <c r="M739" s="10">
        <v>36421124.25</v>
      </c>
      <c r="N739" s="10">
        <v>45624.4</v>
      </c>
      <c r="O739" s="10">
        <v>36399017.039999999</v>
      </c>
      <c r="P739" s="10">
        <v>36396577.799999997</v>
      </c>
      <c r="Q739" s="10">
        <v>2439.2399999999998</v>
      </c>
      <c r="R739" s="10">
        <v>6863925.8899999997</v>
      </c>
      <c r="S739" s="10">
        <v>-1949150.93</v>
      </c>
      <c r="T739" s="10">
        <v>68126.48</v>
      </c>
      <c r="U739" s="10">
        <v>22736.15</v>
      </c>
      <c r="V739" s="10">
        <v>10085.790000000001</v>
      </c>
      <c r="W739" s="10">
        <v>1828.01</v>
      </c>
      <c r="X739" s="10">
        <v>3362.94</v>
      </c>
      <c r="Y739" s="9">
        <v>4491524</v>
      </c>
    </row>
    <row r="740" spans="1:25" ht="16.05" customHeight="1" x14ac:dyDescent="0.3">
      <c r="A740" s="2">
        <v>2720</v>
      </c>
      <c r="B740" s="2">
        <v>39</v>
      </c>
      <c r="C740" s="2">
        <v>2024</v>
      </c>
      <c r="D740" s="3" t="s">
        <v>25</v>
      </c>
      <c r="E740" s="4">
        <v>2275</v>
      </c>
      <c r="F740" s="5">
        <v>133988952.09999999</v>
      </c>
      <c r="G740" s="5">
        <v>36123421.490000002</v>
      </c>
      <c r="H740" s="6">
        <v>26.96</v>
      </c>
      <c r="I740" s="6">
        <v>17.89</v>
      </c>
      <c r="J740" s="5">
        <v>12209.47</v>
      </c>
      <c r="K740" s="5">
        <v>11120.83</v>
      </c>
      <c r="L740" s="5">
        <v>133907448.5</v>
      </c>
      <c r="M740" s="5">
        <v>133964322.3</v>
      </c>
      <c r="N740" s="5">
        <v>81503.62</v>
      </c>
      <c r="O740" s="5">
        <v>133918970.90000001</v>
      </c>
      <c r="P740" s="5">
        <v>133912939.5</v>
      </c>
      <c r="Q740" s="5">
        <v>6031.46</v>
      </c>
      <c r="R740" s="5">
        <v>23970623.530000001</v>
      </c>
      <c r="S740" s="5">
        <v>12152797.960000001</v>
      </c>
      <c r="T740" s="5">
        <v>31297.57</v>
      </c>
      <c r="U740" s="5">
        <v>23829.97</v>
      </c>
      <c r="V740" s="5">
        <v>7270.5</v>
      </c>
      <c r="W740" s="5">
        <v>4251.93</v>
      </c>
      <c r="X740" s="5">
        <v>2925.29</v>
      </c>
      <c r="Y740" s="4">
        <v>4640020</v>
      </c>
    </row>
    <row r="741" spans="1:25" ht="16.05" customHeight="1" x14ac:dyDescent="0.3">
      <c r="A741" s="7">
        <v>2790</v>
      </c>
      <c r="B741" s="7">
        <v>40</v>
      </c>
      <c r="C741" s="7">
        <v>2024</v>
      </c>
      <c r="D741" s="8" t="s">
        <v>25</v>
      </c>
      <c r="E741" s="9">
        <v>3226</v>
      </c>
      <c r="F741" s="10">
        <v>116844981.09999999</v>
      </c>
      <c r="G741" s="10">
        <v>28965870.82</v>
      </c>
      <c r="H741" s="11">
        <v>24.79</v>
      </c>
      <c r="I741" s="11">
        <v>19.02</v>
      </c>
      <c r="J741" s="10">
        <v>9171.6200000000008</v>
      </c>
      <c r="K741" s="10">
        <v>10215.09</v>
      </c>
      <c r="L741" s="10">
        <v>116805053</v>
      </c>
      <c r="M741" s="10">
        <v>116831517.90000001</v>
      </c>
      <c r="N741" s="10">
        <v>39928.080000000002</v>
      </c>
      <c r="O741" s="10">
        <v>116815310.40000001</v>
      </c>
      <c r="P741" s="10">
        <v>116812967.7</v>
      </c>
      <c r="Q741" s="10">
        <v>2342.66</v>
      </c>
      <c r="R741" s="10">
        <v>22223915.41</v>
      </c>
      <c r="S741" s="10">
        <v>6741955.4100000001</v>
      </c>
      <c r="T741" s="10">
        <v>100795.25</v>
      </c>
      <c r="U741" s="10">
        <v>5634.05</v>
      </c>
      <c r="V741" s="10">
        <v>8166.48</v>
      </c>
      <c r="W741" s="10">
        <v>2090.9</v>
      </c>
      <c r="X741" s="10">
        <v>3801.4</v>
      </c>
      <c r="Y741" s="9">
        <v>1137870</v>
      </c>
    </row>
    <row r="742" spans="1:25" ht="16.05" customHeight="1" x14ac:dyDescent="0.3">
      <c r="A742" s="2">
        <v>2860</v>
      </c>
      <c r="B742" s="2">
        <v>41</v>
      </c>
      <c r="C742" s="2">
        <v>2024</v>
      </c>
      <c r="D742" s="3" t="s">
        <v>25</v>
      </c>
      <c r="E742" s="4">
        <v>1626</v>
      </c>
      <c r="F742" s="5">
        <v>54183369.009999998</v>
      </c>
      <c r="G742" s="5">
        <v>4757299.8</v>
      </c>
      <c r="H742" s="6">
        <v>8.7799999999999994</v>
      </c>
      <c r="I742" s="6">
        <v>14.19</v>
      </c>
      <c r="J742" s="5">
        <v>4626.25</v>
      </c>
      <c r="K742" s="5">
        <v>18003.48</v>
      </c>
      <c r="L742" s="5">
        <v>54168995.979999997</v>
      </c>
      <c r="M742" s="5">
        <v>54178712.560000002</v>
      </c>
      <c r="N742" s="5">
        <v>14373.03</v>
      </c>
      <c r="O742" s="5">
        <v>54185218.200000003</v>
      </c>
      <c r="P742" s="5">
        <v>54173550.079999998</v>
      </c>
      <c r="Q742" s="5">
        <v>11668.12</v>
      </c>
      <c r="R742" s="5">
        <v>7688620.0599999996</v>
      </c>
      <c r="S742" s="5">
        <v>-2931320.26</v>
      </c>
      <c r="T742" s="5">
        <v>111428.23</v>
      </c>
      <c r="U742" s="5">
        <v>58298.61</v>
      </c>
      <c r="V742" s="5">
        <v>9811.58</v>
      </c>
      <c r="W742" s="5">
        <v>6410.64</v>
      </c>
      <c r="X742" s="5">
        <v>4388.1499999999996</v>
      </c>
      <c r="Y742" s="4">
        <v>4379009</v>
      </c>
    </row>
    <row r="743" spans="1:25" ht="16.05" customHeight="1" x14ac:dyDescent="0.3">
      <c r="A743" s="7">
        <v>2930</v>
      </c>
      <c r="B743" s="7">
        <v>42</v>
      </c>
      <c r="C743" s="7">
        <v>2024</v>
      </c>
      <c r="D743" s="8" t="s">
        <v>25</v>
      </c>
      <c r="E743" s="9">
        <v>5626</v>
      </c>
      <c r="F743" s="10">
        <v>75906514.909999996</v>
      </c>
      <c r="G743" s="10">
        <v>3886413.56</v>
      </c>
      <c r="H743" s="11">
        <v>5.12</v>
      </c>
      <c r="I743" s="11">
        <v>19.2</v>
      </c>
      <c r="J743" s="10">
        <v>1192.57</v>
      </c>
      <c r="K743" s="10">
        <v>11649.89</v>
      </c>
      <c r="L743" s="10">
        <v>75869900.849999994</v>
      </c>
      <c r="M743" s="10">
        <v>75897074.370000005</v>
      </c>
      <c r="N743" s="10">
        <v>36614.06</v>
      </c>
      <c r="O743" s="10">
        <v>75882933.620000005</v>
      </c>
      <c r="P743" s="10">
        <v>75868573.219999999</v>
      </c>
      <c r="Q743" s="10">
        <v>14360.4</v>
      </c>
      <c r="R743" s="10">
        <v>14574050.859999999</v>
      </c>
      <c r="S743" s="10">
        <v>-10687637.300000001</v>
      </c>
      <c r="T743" s="10">
        <v>10962.75</v>
      </c>
      <c r="U743" s="10">
        <v>33882.14</v>
      </c>
      <c r="V743" s="10">
        <v>5894.57</v>
      </c>
      <c r="W743" s="10">
        <v>7138.2</v>
      </c>
      <c r="X743" s="10">
        <v>2740.89</v>
      </c>
      <c r="Y743" s="9">
        <v>3671953</v>
      </c>
    </row>
    <row r="744" spans="1:25" ht="16.05" customHeight="1" x14ac:dyDescent="0.3">
      <c r="A744" s="2">
        <v>3000</v>
      </c>
      <c r="B744" s="2">
        <v>43</v>
      </c>
      <c r="C744" s="2">
        <v>2024</v>
      </c>
      <c r="D744" s="3" t="s">
        <v>25</v>
      </c>
      <c r="E744" s="4">
        <v>4885</v>
      </c>
      <c r="F744" s="5">
        <v>107520799.7</v>
      </c>
      <c r="G744" s="5">
        <v>13988456.039999999</v>
      </c>
      <c r="H744" s="6">
        <v>13.01</v>
      </c>
      <c r="I744" s="6">
        <v>11.66</v>
      </c>
      <c r="J744" s="5">
        <v>10247.540000000001</v>
      </c>
      <c r="K744" s="5">
        <v>7380.46</v>
      </c>
      <c r="L744" s="5">
        <v>107434260.3</v>
      </c>
      <c r="M744" s="5">
        <v>107505532.8</v>
      </c>
      <c r="N744" s="5">
        <v>86539.4</v>
      </c>
      <c r="O744" s="5">
        <v>107449152.90000001</v>
      </c>
      <c r="P744" s="5">
        <v>107447547.8</v>
      </c>
      <c r="Q744" s="5">
        <v>1605.11</v>
      </c>
      <c r="R744" s="5">
        <v>12536925.25</v>
      </c>
      <c r="S744" s="5">
        <v>1451530.8</v>
      </c>
      <c r="T744" s="5">
        <v>102651.26</v>
      </c>
      <c r="U744" s="5">
        <v>43930.080000000002</v>
      </c>
      <c r="V744" s="5">
        <v>8111</v>
      </c>
      <c r="W744" s="5">
        <v>6781.64</v>
      </c>
      <c r="X744" s="5">
        <v>1967.9</v>
      </c>
      <c r="Y744" s="4">
        <v>1944830</v>
      </c>
    </row>
    <row r="745" spans="1:25" ht="16.05" customHeight="1" x14ac:dyDescent="0.3">
      <c r="A745" s="7">
        <v>3070</v>
      </c>
      <c r="B745" s="7">
        <v>44</v>
      </c>
      <c r="C745" s="7">
        <v>2024</v>
      </c>
      <c r="D745" s="8" t="s">
        <v>25</v>
      </c>
      <c r="E745" s="9">
        <v>1233</v>
      </c>
      <c r="F745" s="10">
        <v>61819662.299999997</v>
      </c>
      <c r="G745" s="10">
        <v>15708376.189999999</v>
      </c>
      <c r="H745" s="11">
        <v>25.41</v>
      </c>
      <c r="I745" s="11">
        <v>13.97</v>
      </c>
      <c r="J745" s="10">
        <v>11501.66</v>
      </c>
      <c r="K745" s="10">
        <v>19592.95</v>
      </c>
      <c r="L745" s="10">
        <v>61790100.810000002</v>
      </c>
      <c r="M745" s="10">
        <v>61801175.100000001</v>
      </c>
      <c r="N745" s="10">
        <v>29561.49</v>
      </c>
      <c r="O745" s="10">
        <v>61797927.329999998</v>
      </c>
      <c r="P745" s="10">
        <v>61791096.329999998</v>
      </c>
      <c r="Q745" s="10">
        <v>6831</v>
      </c>
      <c r="R745" s="10">
        <v>8636206.8200000003</v>
      </c>
      <c r="S745" s="10">
        <v>7072169.3700000001</v>
      </c>
      <c r="T745" s="10">
        <v>101027.55</v>
      </c>
      <c r="U745" s="10">
        <v>34628.89</v>
      </c>
      <c r="V745" s="10">
        <v>7050.58</v>
      </c>
      <c r="W745" s="10">
        <v>775.94</v>
      </c>
      <c r="X745" s="10">
        <v>3982.11</v>
      </c>
      <c r="Y745" s="9">
        <v>2593850</v>
      </c>
    </row>
    <row r="746" spans="1:25" ht="16.05" customHeight="1" x14ac:dyDescent="0.3">
      <c r="A746" s="2">
        <v>3140</v>
      </c>
      <c r="B746" s="2">
        <v>45</v>
      </c>
      <c r="C746" s="2">
        <v>2024</v>
      </c>
      <c r="D746" s="3" t="s">
        <v>25</v>
      </c>
      <c r="E746" s="4">
        <v>438</v>
      </c>
      <c r="F746" s="5">
        <v>7403814.4199999999</v>
      </c>
      <c r="G746" s="5">
        <v>775919.75</v>
      </c>
      <c r="H746" s="6">
        <v>10.48</v>
      </c>
      <c r="I746" s="6">
        <v>13.26</v>
      </c>
      <c r="J746" s="5">
        <v>2243.36</v>
      </c>
      <c r="K746" s="5">
        <v>10559.38</v>
      </c>
      <c r="L746" s="5">
        <v>7391911.5999999996</v>
      </c>
      <c r="M746" s="5">
        <v>7391786.75</v>
      </c>
      <c r="N746" s="5">
        <v>11902.82</v>
      </c>
      <c r="O746" s="5">
        <v>7401414.4500000002</v>
      </c>
      <c r="P746" s="5">
        <v>7390817.71</v>
      </c>
      <c r="Q746" s="5">
        <v>10596.74</v>
      </c>
      <c r="R746" s="5">
        <v>981745.79</v>
      </c>
      <c r="S746" s="5">
        <v>-205826.04</v>
      </c>
      <c r="T746" s="5">
        <v>112329.23</v>
      </c>
      <c r="U746" s="5">
        <v>51021.120000000003</v>
      </c>
      <c r="V746" s="5">
        <v>7822.09</v>
      </c>
      <c r="W746" s="5">
        <v>1680.76</v>
      </c>
      <c r="X746" s="5">
        <v>4366.62</v>
      </c>
      <c r="Y746" s="4">
        <v>1994461</v>
      </c>
    </row>
    <row r="747" spans="1:25" ht="16.05" customHeight="1" x14ac:dyDescent="0.3">
      <c r="A747" s="7">
        <v>3210</v>
      </c>
      <c r="B747" s="7">
        <v>46</v>
      </c>
      <c r="C747" s="7">
        <v>2024</v>
      </c>
      <c r="D747" s="8" t="s">
        <v>25</v>
      </c>
      <c r="E747" s="9">
        <v>808</v>
      </c>
      <c r="F747" s="10">
        <v>39045426.469999999</v>
      </c>
      <c r="G747" s="10">
        <v>6016900.2199999997</v>
      </c>
      <c r="H747" s="11">
        <v>15.41</v>
      </c>
      <c r="I747" s="11">
        <v>19.989999999999998</v>
      </c>
      <c r="J747" s="10">
        <v>7642.06</v>
      </c>
      <c r="K747" s="10">
        <v>12331.08</v>
      </c>
      <c r="L747" s="10">
        <v>39031213.600000001</v>
      </c>
      <c r="M747" s="10">
        <v>39033229.280000001</v>
      </c>
      <c r="N747" s="10">
        <v>14212.87</v>
      </c>
      <c r="O747" s="10">
        <v>39037679.490000002</v>
      </c>
      <c r="P747" s="10">
        <v>39027829.710000001</v>
      </c>
      <c r="Q747" s="10">
        <v>9849.7800000000007</v>
      </c>
      <c r="R747" s="10">
        <v>7805180.75</v>
      </c>
      <c r="S747" s="10">
        <v>-1788280.53</v>
      </c>
      <c r="T747" s="10">
        <v>36423.82</v>
      </c>
      <c r="U747" s="10">
        <v>17313.66</v>
      </c>
      <c r="V747" s="10">
        <v>1100.31</v>
      </c>
      <c r="W747" s="10">
        <v>5365.58</v>
      </c>
      <c r="X747" s="10">
        <v>4293.84</v>
      </c>
      <c r="Y747" s="9">
        <v>1459778</v>
      </c>
    </row>
    <row r="748" spans="1:25" ht="16.05" customHeight="1" x14ac:dyDescent="0.3">
      <c r="A748" s="2">
        <v>3280</v>
      </c>
      <c r="B748" s="2">
        <v>47</v>
      </c>
      <c r="C748" s="2">
        <v>2024</v>
      </c>
      <c r="D748" s="3" t="s">
        <v>25</v>
      </c>
      <c r="E748" s="4">
        <v>2617</v>
      </c>
      <c r="F748" s="5">
        <v>152482834.40000001</v>
      </c>
      <c r="G748" s="5">
        <v>14516365.83</v>
      </c>
      <c r="H748" s="6">
        <v>9.52</v>
      </c>
      <c r="I748" s="6">
        <v>9.4700000000000006</v>
      </c>
      <c r="J748" s="5">
        <v>7108.12</v>
      </c>
      <c r="K748" s="5">
        <v>6264.67</v>
      </c>
      <c r="L748" s="5">
        <v>152385558</v>
      </c>
      <c r="M748" s="5">
        <v>152463095</v>
      </c>
      <c r="N748" s="5">
        <v>97276.39</v>
      </c>
      <c r="O748" s="5">
        <v>152401013</v>
      </c>
      <c r="P748" s="5">
        <v>152399910</v>
      </c>
      <c r="Q748" s="5">
        <v>1102.95</v>
      </c>
      <c r="R748" s="5">
        <v>14440124.41</v>
      </c>
      <c r="S748" s="5">
        <v>76241.42</v>
      </c>
      <c r="T748" s="5">
        <v>16507.73</v>
      </c>
      <c r="U748" s="5">
        <v>18236.91</v>
      </c>
      <c r="V748" s="5">
        <v>10700.71</v>
      </c>
      <c r="W748" s="5">
        <v>4754.28</v>
      </c>
      <c r="X748" s="5">
        <v>4843.66</v>
      </c>
      <c r="Y748" s="4">
        <v>1275654</v>
      </c>
    </row>
    <row r="749" spans="1:25" ht="16.05" customHeight="1" x14ac:dyDescent="0.3">
      <c r="A749" s="7">
        <v>3350</v>
      </c>
      <c r="B749" s="7">
        <v>48</v>
      </c>
      <c r="C749" s="7">
        <v>2024</v>
      </c>
      <c r="D749" s="8" t="s">
        <v>25</v>
      </c>
      <c r="E749" s="9">
        <v>3819</v>
      </c>
      <c r="F749" s="10">
        <v>135957952.5</v>
      </c>
      <c r="G749" s="10">
        <v>33418464.710000001</v>
      </c>
      <c r="H749" s="11">
        <v>24.58</v>
      </c>
      <c r="I749" s="11">
        <v>11.07</v>
      </c>
      <c r="J749" s="10">
        <v>6257.58</v>
      </c>
      <c r="K749" s="10">
        <v>15908.51</v>
      </c>
      <c r="L749" s="10">
        <v>135933776.5</v>
      </c>
      <c r="M749" s="10">
        <v>135941429</v>
      </c>
      <c r="N749" s="10">
        <v>24175.99</v>
      </c>
      <c r="O749" s="10">
        <v>135938994</v>
      </c>
      <c r="P749" s="10">
        <v>135928613.5</v>
      </c>
      <c r="Q749" s="10">
        <v>10380.530000000001</v>
      </c>
      <c r="R749" s="10">
        <v>15050545.34</v>
      </c>
      <c r="S749" s="10">
        <v>18367919.379999999</v>
      </c>
      <c r="T749" s="10">
        <v>107535.7</v>
      </c>
      <c r="U749" s="10">
        <v>59947.77</v>
      </c>
      <c r="V749" s="10">
        <v>3645.9</v>
      </c>
      <c r="W749" s="10">
        <v>1571.62</v>
      </c>
      <c r="X749" s="10">
        <v>4179.32</v>
      </c>
      <c r="Y749" s="9">
        <v>1225816</v>
      </c>
    </row>
    <row r="750" spans="1:25" ht="16.05" customHeight="1" x14ac:dyDescent="0.3">
      <c r="A750" s="2">
        <v>3420</v>
      </c>
      <c r="B750" s="2">
        <v>49</v>
      </c>
      <c r="C750" s="2">
        <v>2024</v>
      </c>
      <c r="D750" s="3" t="s">
        <v>25</v>
      </c>
      <c r="E750" s="4">
        <v>5310</v>
      </c>
      <c r="F750" s="5">
        <v>91117073.810000002</v>
      </c>
      <c r="G750" s="5">
        <v>13576444</v>
      </c>
      <c r="H750" s="6">
        <v>14.9</v>
      </c>
      <c r="I750" s="6">
        <v>17.850000000000001</v>
      </c>
      <c r="J750" s="5">
        <v>3272.97</v>
      </c>
      <c r="K750" s="5">
        <v>19351.990000000002</v>
      </c>
      <c r="L750" s="5">
        <v>91031075.049999997</v>
      </c>
      <c r="M750" s="5">
        <v>91101765.25</v>
      </c>
      <c r="N750" s="5">
        <v>85998.76</v>
      </c>
      <c r="O750" s="5">
        <v>91039097.200000003</v>
      </c>
      <c r="P750" s="5">
        <v>91030389.129999995</v>
      </c>
      <c r="Q750" s="5">
        <v>8708.07</v>
      </c>
      <c r="R750" s="5">
        <v>16264397.67</v>
      </c>
      <c r="S750" s="5">
        <v>-2687953.68</v>
      </c>
      <c r="T750" s="5">
        <v>106440.98</v>
      </c>
      <c r="U750" s="5">
        <v>42988.800000000003</v>
      </c>
      <c r="V750" s="5">
        <v>4709.33</v>
      </c>
      <c r="W750" s="5">
        <v>3312.82</v>
      </c>
      <c r="X750" s="5">
        <v>3970.75</v>
      </c>
      <c r="Y750" s="4">
        <v>1208832</v>
      </c>
    </row>
    <row r="751" spans="1:25" ht="16.05" customHeight="1" x14ac:dyDescent="0.3">
      <c r="A751" s="7">
        <v>3490</v>
      </c>
      <c r="B751" s="7">
        <v>50</v>
      </c>
      <c r="C751" s="7">
        <v>2024</v>
      </c>
      <c r="D751" s="8" t="s">
        <v>25</v>
      </c>
      <c r="E751" s="9">
        <v>116</v>
      </c>
      <c r="F751" s="10">
        <v>4415314.58</v>
      </c>
      <c r="G751" s="10">
        <v>1296336.3600000001</v>
      </c>
      <c r="H751" s="11">
        <v>29.36</v>
      </c>
      <c r="I751" s="11">
        <v>10.210000000000001</v>
      </c>
      <c r="J751" s="10">
        <v>5211.47</v>
      </c>
      <c r="K751" s="10">
        <v>12489.29</v>
      </c>
      <c r="L751" s="10">
        <v>4351777.3</v>
      </c>
      <c r="M751" s="10">
        <v>4399739.97</v>
      </c>
      <c r="N751" s="10">
        <v>63537.279999999999</v>
      </c>
      <c r="O751" s="10">
        <v>4360496.3600000003</v>
      </c>
      <c r="P751" s="10">
        <v>4348231.62</v>
      </c>
      <c r="Q751" s="10">
        <v>12264.74</v>
      </c>
      <c r="R751" s="10">
        <v>450803.62</v>
      </c>
      <c r="S751" s="10">
        <v>845532.74</v>
      </c>
      <c r="T751" s="10">
        <v>32642.41</v>
      </c>
      <c r="U751" s="10">
        <v>8550.15</v>
      </c>
      <c r="V751" s="10">
        <v>5245.32</v>
      </c>
      <c r="W751" s="10">
        <v>3473.74</v>
      </c>
      <c r="X751" s="10">
        <v>2355.16</v>
      </c>
      <c r="Y751" s="9">
        <v>4236814</v>
      </c>
    </row>
    <row r="752" spans="1:25" ht="16.05" customHeight="1" x14ac:dyDescent="0.3">
      <c r="A752" s="2">
        <v>50</v>
      </c>
      <c r="B752" s="2">
        <v>1</v>
      </c>
      <c r="C752" s="2">
        <v>2024</v>
      </c>
      <c r="D752" s="3" t="s">
        <v>26</v>
      </c>
      <c r="E752" s="4">
        <v>4640</v>
      </c>
      <c r="F752" s="5">
        <v>90968335.120000005</v>
      </c>
      <c r="G752" s="5">
        <v>14027317.279999999</v>
      </c>
      <c r="H752" s="6">
        <v>15.42</v>
      </c>
      <c r="I752" s="6">
        <v>14.81</v>
      </c>
      <c r="J752" s="5">
        <v>12449.98</v>
      </c>
      <c r="K752" s="5">
        <v>3295.24</v>
      </c>
      <c r="L752" s="5">
        <v>90943281.430000007</v>
      </c>
      <c r="M752" s="5">
        <v>90957913.739999995</v>
      </c>
      <c r="N752" s="5">
        <v>25053.69</v>
      </c>
      <c r="O752" s="5">
        <v>90960483.769999996</v>
      </c>
      <c r="P752" s="5">
        <v>90955609.290000007</v>
      </c>
      <c r="Q752" s="5">
        <v>4874.4799999999996</v>
      </c>
      <c r="R752" s="5">
        <v>13472410.43</v>
      </c>
      <c r="S752" s="5">
        <v>554906.84</v>
      </c>
      <c r="T752" s="5">
        <v>74268.25</v>
      </c>
      <c r="U752" s="5">
        <v>41215.699999999997</v>
      </c>
      <c r="V752" s="5">
        <v>9485.26</v>
      </c>
      <c r="W752" s="5">
        <v>7717.08</v>
      </c>
      <c r="X752" s="5">
        <v>2450.63</v>
      </c>
      <c r="Y752" s="4">
        <v>4733460</v>
      </c>
    </row>
    <row r="753" spans="1:25" ht="16.05" customHeight="1" x14ac:dyDescent="0.3">
      <c r="A753" s="7">
        <v>120</v>
      </c>
      <c r="B753" s="7">
        <v>2</v>
      </c>
      <c r="C753" s="7">
        <v>2024</v>
      </c>
      <c r="D753" s="8" t="s">
        <v>26</v>
      </c>
      <c r="E753" s="9">
        <v>2141</v>
      </c>
      <c r="F753" s="10">
        <v>122779577.5</v>
      </c>
      <c r="G753" s="10">
        <v>31492961.629999999</v>
      </c>
      <c r="H753" s="11">
        <v>25.65</v>
      </c>
      <c r="I753" s="11">
        <v>15.25</v>
      </c>
      <c r="J753" s="10">
        <v>4382.2</v>
      </c>
      <c r="K753" s="10">
        <v>13996.15</v>
      </c>
      <c r="L753" s="10">
        <v>122758010.8</v>
      </c>
      <c r="M753" s="10">
        <v>122769507.7</v>
      </c>
      <c r="N753" s="10">
        <v>21566.73</v>
      </c>
      <c r="O753" s="10">
        <v>122776313.3</v>
      </c>
      <c r="P753" s="10">
        <v>122771061</v>
      </c>
      <c r="Q753" s="10">
        <v>5252.25</v>
      </c>
      <c r="R753" s="10">
        <v>18723885.57</v>
      </c>
      <c r="S753" s="10">
        <v>12769076.060000001</v>
      </c>
      <c r="T753" s="10">
        <v>118086.18</v>
      </c>
      <c r="U753" s="10">
        <v>26523.48</v>
      </c>
      <c r="V753" s="10">
        <v>10373.32</v>
      </c>
      <c r="W753" s="10">
        <v>7929.17</v>
      </c>
      <c r="X753" s="10">
        <v>3165.25</v>
      </c>
      <c r="Y753" s="9">
        <v>2291270</v>
      </c>
    </row>
    <row r="754" spans="1:25" ht="16.05" customHeight="1" x14ac:dyDescent="0.3">
      <c r="A754" s="2">
        <v>190</v>
      </c>
      <c r="B754" s="2">
        <v>3</v>
      </c>
      <c r="C754" s="2">
        <v>2024</v>
      </c>
      <c r="D754" s="3" t="s">
        <v>26</v>
      </c>
      <c r="E754" s="4">
        <v>2444</v>
      </c>
      <c r="F754" s="5">
        <v>102784935.3</v>
      </c>
      <c r="G754" s="5">
        <v>10175708.6</v>
      </c>
      <c r="H754" s="6">
        <v>9.9</v>
      </c>
      <c r="I754" s="6">
        <v>17.989999999999998</v>
      </c>
      <c r="J754" s="5">
        <v>10656.68</v>
      </c>
      <c r="K754" s="5">
        <v>14868.09</v>
      </c>
      <c r="L754" s="5">
        <v>102715069.5</v>
      </c>
      <c r="M754" s="5">
        <v>102779399.2</v>
      </c>
      <c r="N754" s="5">
        <v>69865.850000000006</v>
      </c>
      <c r="O754" s="5">
        <v>102733196.90000001</v>
      </c>
      <c r="P754" s="5">
        <v>102724106.7</v>
      </c>
      <c r="Q754" s="5">
        <v>9090.19</v>
      </c>
      <c r="R754" s="5">
        <v>18491009.859999999</v>
      </c>
      <c r="S754" s="5">
        <v>-8315301.2699999996</v>
      </c>
      <c r="T754" s="5">
        <v>61466.48</v>
      </c>
      <c r="U754" s="5">
        <v>41838.58</v>
      </c>
      <c r="V754" s="5">
        <v>10356.219999999999</v>
      </c>
      <c r="W754" s="5">
        <v>7771.19</v>
      </c>
      <c r="X754" s="5">
        <v>2306.13</v>
      </c>
      <c r="Y754" s="4">
        <v>3988348</v>
      </c>
    </row>
    <row r="755" spans="1:25" ht="16.05" customHeight="1" x14ac:dyDescent="0.3">
      <c r="A755" s="7">
        <v>260</v>
      </c>
      <c r="B755" s="7">
        <v>4</v>
      </c>
      <c r="C755" s="7">
        <v>2024</v>
      </c>
      <c r="D755" s="8" t="s">
        <v>26</v>
      </c>
      <c r="E755" s="9">
        <v>2248</v>
      </c>
      <c r="F755" s="10">
        <v>37642069.950000003</v>
      </c>
      <c r="G755" s="10">
        <v>5311296.07</v>
      </c>
      <c r="H755" s="11">
        <v>14.11</v>
      </c>
      <c r="I755" s="11">
        <v>5.19</v>
      </c>
      <c r="J755" s="10">
        <v>10697.29</v>
      </c>
      <c r="K755" s="10">
        <v>10763.53</v>
      </c>
      <c r="L755" s="10">
        <v>37626091.560000002</v>
      </c>
      <c r="M755" s="10">
        <v>37637918.299999997</v>
      </c>
      <c r="N755" s="10">
        <v>15978.39</v>
      </c>
      <c r="O755" s="10">
        <v>37637349.149999999</v>
      </c>
      <c r="P755" s="10">
        <v>37625735.93</v>
      </c>
      <c r="Q755" s="10">
        <v>11613.22</v>
      </c>
      <c r="R755" s="10">
        <v>1953623.43</v>
      </c>
      <c r="S755" s="10">
        <v>3357672.64</v>
      </c>
      <c r="T755" s="10">
        <v>62020.3</v>
      </c>
      <c r="U755" s="10">
        <v>18853.64</v>
      </c>
      <c r="V755" s="10">
        <v>7009.92</v>
      </c>
      <c r="W755" s="10">
        <v>4247.67</v>
      </c>
      <c r="X755" s="10">
        <v>4911.0200000000004</v>
      </c>
      <c r="Y755" s="9">
        <v>2476375</v>
      </c>
    </row>
    <row r="756" spans="1:25" ht="16.05" customHeight="1" x14ac:dyDescent="0.3">
      <c r="A756" s="2">
        <v>330</v>
      </c>
      <c r="B756" s="2">
        <v>5</v>
      </c>
      <c r="C756" s="2">
        <v>2024</v>
      </c>
      <c r="D756" s="3" t="s">
        <v>26</v>
      </c>
      <c r="E756" s="4">
        <v>5796</v>
      </c>
      <c r="F756" s="5">
        <v>202718365.5</v>
      </c>
      <c r="G756" s="5">
        <v>17352692.079999998</v>
      </c>
      <c r="H756" s="6">
        <v>8.56</v>
      </c>
      <c r="I756" s="6">
        <v>6.33</v>
      </c>
      <c r="J756" s="5">
        <v>11761.18</v>
      </c>
      <c r="K756" s="5">
        <v>14484.83</v>
      </c>
      <c r="L756" s="5">
        <v>202645630</v>
      </c>
      <c r="M756" s="5">
        <v>202707073.90000001</v>
      </c>
      <c r="N756" s="5">
        <v>72735.47</v>
      </c>
      <c r="O756" s="5">
        <v>202658725.19999999</v>
      </c>
      <c r="P756" s="5">
        <v>202646047.69999999</v>
      </c>
      <c r="Q756" s="5">
        <v>12677.52</v>
      </c>
      <c r="R756" s="5">
        <v>12832072.529999999</v>
      </c>
      <c r="S756" s="5">
        <v>4520619.55</v>
      </c>
      <c r="T756" s="5">
        <v>41192.53</v>
      </c>
      <c r="U756" s="5">
        <v>40093.410000000003</v>
      </c>
      <c r="V756" s="5">
        <v>7875.33</v>
      </c>
      <c r="W756" s="5">
        <v>5219.8999999999996</v>
      </c>
      <c r="X756" s="5">
        <v>2445.1999999999998</v>
      </c>
      <c r="Y756" s="4">
        <v>2125610</v>
      </c>
    </row>
    <row r="757" spans="1:25" ht="16.05" customHeight="1" x14ac:dyDescent="0.3">
      <c r="A757" s="7">
        <v>400</v>
      </c>
      <c r="B757" s="7">
        <v>6</v>
      </c>
      <c r="C757" s="7">
        <v>2024</v>
      </c>
      <c r="D757" s="8" t="s">
        <v>26</v>
      </c>
      <c r="E757" s="9">
        <v>3508</v>
      </c>
      <c r="F757" s="10">
        <v>83363116.689999998</v>
      </c>
      <c r="G757" s="10">
        <v>15030369.939999999</v>
      </c>
      <c r="H757" s="11">
        <v>18.03</v>
      </c>
      <c r="I757" s="11">
        <v>19.75</v>
      </c>
      <c r="J757" s="10">
        <v>8829.83</v>
      </c>
      <c r="K757" s="10">
        <v>5902.3</v>
      </c>
      <c r="L757" s="10">
        <v>83318455.370000005</v>
      </c>
      <c r="M757" s="10">
        <v>83340232.239999995</v>
      </c>
      <c r="N757" s="10">
        <v>44661.32</v>
      </c>
      <c r="O757" s="10">
        <v>83330763.540000007</v>
      </c>
      <c r="P757" s="10">
        <v>83326648.900000006</v>
      </c>
      <c r="Q757" s="10">
        <v>4114.6400000000003</v>
      </c>
      <c r="R757" s="10">
        <v>16464215.550000001</v>
      </c>
      <c r="S757" s="10">
        <v>-1433845.61</v>
      </c>
      <c r="T757" s="10">
        <v>63458.01</v>
      </c>
      <c r="U757" s="10">
        <v>26973.94</v>
      </c>
      <c r="V757" s="10">
        <v>11515.41</v>
      </c>
      <c r="W757" s="10">
        <v>792.76</v>
      </c>
      <c r="X757" s="10">
        <v>4725.84</v>
      </c>
      <c r="Y757" s="9">
        <v>4408689</v>
      </c>
    </row>
    <row r="758" spans="1:25" ht="16.05" customHeight="1" x14ac:dyDescent="0.3">
      <c r="A758" s="2">
        <v>470</v>
      </c>
      <c r="B758" s="2">
        <v>7</v>
      </c>
      <c r="C758" s="2">
        <v>2024</v>
      </c>
      <c r="D758" s="3" t="s">
        <v>26</v>
      </c>
      <c r="E758" s="4">
        <v>1135</v>
      </c>
      <c r="F758" s="5">
        <v>55187452.130000003</v>
      </c>
      <c r="G758" s="5">
        <v>15336592.949999999</v>
      </c>
      <c r="H758" s="6">
        <v>27.79</v>
      </c>
      <c r="I758" s="6">
        <v>7.48</v>
      </c>
      <c r="J758" s="5">
        <v>3135.29</v>
      </c>
      <c r="K758" s="5">
        <v>18724.7</v>
      </c>
      <c r="L758" s="5">
        <v>55144790.090000004</v>
      </c>
      <c r="M758" s="5">
        <v>55175669.619999997</v>
      </c>
      <c r="N758" s="5">
        <v>42662.04</v>
      </c>
      <c r="O758" s="5">
        <v>55150317.770000003</v>
      </c>
      <c r="P758" s="5">
        <v>55146966.350000001</v>
      </c>
      <c r="Q758" s="5">
        <v>3351.42</v>
      </c>
      <c r="R758" s="5">
        <v>4128021.42</v>
      </c>
      <c r="S758" s="5">
        <v>11208571.529999999</v>
      </c>
      <c r="T758" s="5">
        <v>23525.81</v>
      </c>
      <c r="U758" s="5">
        <v>19480.509999999998</v>
      </c>
      <c r="V758" s="5">
        <v>3330.83</v>
      </c>
      <c r="W758" s="5">
        <v>2196.85</v>
      </c>
      <c r="X758" s="5">
        <v>1394.99</v>
      </c>
      <c r="Y758" s="4">
        <v>4290879</v>
      </c>
    </row>
    <row r="759" spans="1:25" ht="16.05" customHeight="1" x14ac:dyDescent="0.3">
      <c r="A759" s="7">
        <v>540</v>
      </c>
      <c r="B759" s="7">
        <v>8</v>
      </c>
      <c r="C759" s="7">
        <v>2024</v>
      </c>
      <c r="D759" s="8" t="s">
        <v>26</v>
      </c>
      <c r="E759" s="9">
        <v>404</v>
      </c>
      <c r="F759" s="10">
        <v>22597509.690000001</v>
      </c>
      <c r="G759" s="10">
        <v>3694692.84</v>
      </c>
      <c r="H759" s="11">
        <v>16.350000000000001</v>
      </c>
      <c r="I759" s="11">
        <v>6.67</v>
      </c>
      <c r="J759" s="10">
        <v>14097.71</v>
      </c>
      <c r="K759" s="10">
        <v>10816.4</v>
      </c>
      <c r="L759" s="10">
        <v>22558062.41</v>
      </c>
      <c r="M759" s="10">
        <v>22586223.920000002</v>
      </c>
      <c r="N759" s="10">
        <v>39447.279999999999</v>
      </c>
      <c r="O759" s="10">
        <v>22563184.300000001</v>
      </c>
      <c r="P759" s="10">
        <v>22552402.329999998</v>
      </c>
      <c r="Q759" s="10">
        <v>10781.97</v>
      </c>
      <c r="R759" s="10">
        <v>1507253.9</v>
      </c>
      <c r="S759" s="10">
        <v>2187438.94</v>
      </c>
      <c r="T759" s="10">
        <v>75525.84</v>
      </c>
      <c r="U759" s="10">
        <v>12781.6</v>
      </c>
      <c r="V759" s="10">
        <v>1994.1</v>
      </c>
      <c r="W759" s="10">
        <v>3127.79</v>
      </c>
      <c r="X759" s="10">
        <v>3943.16</v>
      </c>
      <c r="Y759" s="9">
        <v>4991033</v>
      </c>
    </row>
    <row r="760" spans="1:25" ht="16.05" customHeight="1" x14ac:dyDescent="0.3">
      <c r="A760" s="2">
        <v>610</v>
      </c>
      <c r="B760" s="2">
        <v>9</v>
      </c>
      <c r="C760" s="2">
        <v>2024</v>
      </c>
      <c r="D760" s="3" t="s">
        <v>26</v>
      </c>
      <c r="E760" s="4">
        <v>1595</v>
      </c>
      <c r="F760" s="5">
        <v>79685228.689999998</v>
      </c>
      <c r="G760" s="5">
        <v>22606699.379999999</v>
      </c>
      <c r="H760" s="6">
        <v>28.37</v>
      </c>
      <c r="I760" s="6">
        <v>5.94</v>
      </c>
      <c r="J760" s="5">
        <v>2510.6799999999998</v>
      </c>
      <c r="K760" s="5">
        <v>4126.57</v>
      </c>
      <c r="L760" s="5">
        <v>79648464.530000001</v>
      </c>
      <c r="M760" s="5">
        <v>79677681.939999998</v>
      </c>
      <c r="N760" s="5">
        <v>36764.160000000003</v>
      </c>
      <c r="O760" s="5">
        <v>79661330.799999997</v>
      </c>
      <c r="P760" s="5">
        <v>79654787.840000004</v>
      </c>
      <c r="Q760" s="5">
        <v>6542.96</v>
      </c>
      <c r="R760" s="5">
        <v>4733302.58</v>
      </c>
      <c r="S760" s="5">
        <v>17873396.800000001</v>
      </c>
      <c r="T760" s="5">
        <v>15214.45</v>
      </c>
      <c r="U760" s="5">
        <v>51475.88</v>
      </c>
      <c r="V760" s="5">
        <v>7273.25</v>
      </c>
      <c r="W760" s="5">
        <v>5593.02</v>
      </c>
      <c r="X760" s="5">
        <v>2171.65</v>
      </c>
      <c r="Y760" s="4">
        <v>2792393</v>
      </c>
    </row>
    <row r="761" spans="1:25" ht="16.05" customHeight="1" x14ac:dyDescent="0.3">
      <c r="A761" s="7">
        <v>680</v>
      </c>
      <c r="B761" s="7">
        <v>10</v>
      </c>
      <c r="C761" s="7">
        <v>2024</v>
      </c>
      <c r="D761" s="8" t="s">
        <v>26</v>
      </c>
      <c r="E761" s="9">
        <v>6181</v>
      </c>
      <c r="F761" s="10">
        <v>76685325.519999996</v>
      </c>
      <c r="G761" s="10">
        <v>6648617.7199999997</v>
      </c>
      <c r="H761" s="11">
        <v>8.67</v>
      </c>
      <c r="I761" s="11">
        <v>19.690000000000001</v>
      </c>
      <c r="J761" s="10">
        <v>8196.98</v>
      </c>
      <c r="K761" s="10">
        <v>3745.96</v>
      </c>
      <c r="L761" s="10">
        <v>76650161.859999999</v>
      </c>
      <c r="M761" s="10">
        <v>76671147.430000007</v>
      </c>
      <c r="N761" s="10">
        <v>35163.660000000003</v>
      </c>
      <c r="O761" s="10">
        <v>76661980.109999999</v>
      </c>
      <c r="P761" s="10">
        <v>76656492.769999996</v>
      </c>
      <c r="Q761" s="10">
        <v>5487.34</v>
      </c>
      <c r="R761" s="10">
        <v>15099340.59</v>
      </c>
      <c r="S761" s="10">
        <v>-8450722.8699999992</v>
      </c>
      <c r="T761" s="10">
        <v>49432.04</v>
      </c>
      <c r="U761" s="10">
        <v>13717.64</v>
      </c>
      <c r="V761" s="10">
        <v>5668.15</v>
      </c>
      <c r="W761" s="10">
        <v>6150.1</v>
      </c>
      <c r="X761" s="10">
        <v>1765.82</v>
      </c>
      <c r="Y761" s="9">
        <v>2390930</v>
      </c>
    </row>
    <row r="762" spans="1:25" ht="16.05" customHeight="1" x14ac:dyDescent="0.3">
      <c r="A762" s="2">
        <v>750</v>
      </c>
      <c r="B762" s="2">
        <v>11</v>
      </c>
      <c r="C762" s="2">
        <v>2024</v>
      </c>
      <c r="D762" s="3" t="s">
        <v>26</v>
      </c>
      <c r="E762" s="4">
        <v>3141</v>
      </c>
      <c r="F762" s="5">
        <v>34202319.920000002</v>
      </c>
      <c r="G762" s="5">
        <v>10147828.32</v>
      </c>
      <c r="H762" s="6">
        <v>29.67</v>
      </c>
      <c r="I762" s="6">
        <v>11.56</v>
      </c>
      <c r="J762" s="5">
        <v>7793.77</v>
      </c>
      <c r="K762" s="5">
        <v>9978.0400000000009</v>
      </c>
      <c r="L762" s="5">
        <v>34181230.359999999</v>
      </c>
      <c r="M762" s="5">
        <v>34187950.810000002</v>
      </c>
      <c r="N762" s="5">
        <v>21089.56</v>
      </c>
      <c r="O762" s="5">
        <v>34190467.100000001</v>
      </c>
      <c r="P762" s="5">
        <v>34187567.479999997</v>
      </c>
      <c r="Q762" s="5">
        <v>2899.62</v>
      </c>
      <c r="R762" s="5">
        <v>3953788.18</v>
      </c>
      <c r="S762" s="5">
        <v>6194040.1399999997</v>
      </c>
      <c r="T762" s="5">
        <v>22776.76</v>
      </c>
      <c r="U762" s="5">
        <v>39870.97</v>
      </c>
      <c r="V762" s="5">
        <v>3172.63</v>
      </c>
      <c r="W762" s="5">
        <v>6064.11</v>
      </c>
      <c r="X762" s="5">
        <v>1433.93</v>
      </c>
      <c r="Y762" s="4">
        <v>2886681</v>
      </c>
    </row>
    <row r="763" spans="1:25" ht="16.05" customHeight="1" x14ac:dyDescent="0.3">
      <c r="A763" s="7">
        <v>820</v>
      </c>
      <c r="B763" s="7">
        <v>12</v>
      </c>
      <c r="C763" s="7">
        <v>2024</v>
      </c>
      <c r="D763" s="8" t="s">
        <v>26</v>
      </c>
      <c r="E763" s="9">
        <v>3049</v>
      </c>
      <c r="F763" s="10">
        <v>133916361.59999999</v>
      </c>
      <c r="G763" s="10">
        <v>39612459.75</v>
      </c>
      <c r="H763" s="11">
        <v>29.58</v>
      </c>
      <c r="I763" s="11">
        <v>11.82</v>
      </c>
      <c r="J763" s="10">
        <v>14568.58</v>
      </c>
      <c r="K763" s="10">
        <v>7528.3</v>
      </c>
      <c r="L763" s="10">
        <v>133847036.8</v>
      </c>
      <c r="M763" s="10">
        <v>133910039.2</v>
      </c>
      <c r="N763" s="10">
        <v>69324.75</v>
      </c>
      <c r="O763" s="10">
        <v>133853279.8</v>
      </c>
      <c r="P763" s="10">
        <v>133838500.90000001</v>
      </c>
      <c r="Q763" s="10">
        <v>14778.91</v>
      </c>
      <c r="R763" s="10">
        <v>15828913.939999999</v>
      </c>
      <c r="S763" s="10">
        <v>23783545.809999999</v>
      </c>
      <c r="T763" s="10">
        <v>28816.3</v>
      </c>
      <c r="U763" s="10">
        <v>49980.3</v>
      </c>
      <c r="V763" s="10">
        <v>1060.5</v>
      </c>
      <c r="W763" s="10">
        <v>5182.4799999999996</v>
      </c>
      <c r="X763" s="10">
        <v>4281.0600000000004</v>
      </c>
      <c r="Y763" s="9">
        <v>1473741</v>
      </c>
    </row>
    <row r="764" spans="1:25" ht="16.05" customHeight="1" x14ac:dyDescent="0.3">
      <c r="A764" s="2">
        <v>890</v>
      </c>
      <c r="B764" s="2">
        <v>13</v>
      </c>
      <c r="C764" s="2">
        <v>2024</v>
      </c>
      <c r="D764" s="3" t="s">
        <v>26</v>
      </c>
      <c r="E764" s="4">
        <v>541</v>
      </c>
      <c r="F764" s="5">
        <v>12050808.050000001</v>
      </c>
      <c r="G764" s="5">
        <v>3204309.86</v>
      </c>
      <c r="H764" s="6">
        <v>26.59</v>
      </c>
      <c r="I764" s="6">
        <v>6.65</v>
      </c>
      <c r="J764" s="5">
        <v>8300.59</v>
      </c>
      <c r="K764" s="5">
        <v>8130.47</v>
      </c>
      <c r="L764" s="5">
        <v>11956401.33</v>
      </c>
      <c r="M764" s="5">
        <v>12029779.890000001</v>
      </c>
      <c r="N764" s="5">
        <v>94406.720000000001</v>
      </c>
      <c r="O764" s="5">
        <v>11971949.59</v>
      </c>
      <c r="P764" s="5">
        <v>11964119.939999999</v>
      </c>
      <c r="Q764" s="5">
        <v>7829.65</v>
      </c>
      <c r="R764" s="5">
        <v>801378.74</v>
      </c>
      <c r="S764" s="5">
        <v>2402931.13</v>
      </c>
      <c r="T764" s="5">
        <v>17240.62</v>
      </c>
      <c r="U764" s="5">
        <v>45855.62</v>
      </c>
      <c r="V764" s="5">
        <v>11330.71</v>
      </c>
      <c r="W764" s="5">
        <v>4217.55</v>
      </c>
      <c r="X764" s="5">
        <v>1656.86</v>
      </c>
      <c r="Y764" s="4">
        <v>4872009</v>
      </c>
    </row>
    <row r="765" spans="1:25" ht="16.05" customHeight="1" x14ac:dyDescent="0.3">
      <c r="A765" s="7">
        <v>960</v>
      </c>
      <c r="B765" s="7">
        <v>14</v>
      </c>
      <c r="C765" s="7">
        <v>2024</v>
      </c>
      <c r="D765" s="8" t="s">
        <v>26</v>
      </c>
      <c r="E765" s="9">
        <v>1199</v>
      </c>
      <c r="F765" s="10">
        <v>14557057.15</v>
      </c>
      <c r="G765" s="10">
        <v>1893873.14</v>
      </c>
      <c r="H765" s="11">
        <v>13.01</v>
      </c>
      <c r="I765" s="11">
        <v>12.22</v>
      </c>
      <c r="J765" s="10">
        <v>13089.1</v>
      </c>
      <c r="K765" s="10">
        <v>15107.05</v>
      </c>
      <c r="L765" s="10">
        <v>14497679.32</v>
      </c>
      <c r="M765" s="10">
        <v>14539701.34</v>
      </c>
      <c r="N765" s="10">
        <v>59377.83</v>
      </c>
      <c r="O765" s="10">
        <v>14505169.66</v>
      </c>
      <c r="P765" s="10">
        <v>14498033.57</v>
      </c>
      <c r="Q765" s="10">
        <v>7136.09</v>
      </c>
      <c r="R765" s="10">
        <v>1778872.38</v>
      </c>
      <c r="S765" s="10">
        <v>115000.75</v>
      </c>
      <c r="T765" s="10">
        <v>21478.18</v>
      </c>
      <c r="U765" s="10">
        <v>59236.21</v>
      </c>
      <c r="V765" s="10">
        <v>6820.26</v>
      </c>
      <c r="W765" s="10">
        <v>670.08</v>
      </c>
      <c r="X765" s="10">
        <v>3819.65</v>
      </c>
      <c r="Y765" s="9">
        <v>2228082</v>
      </c>
    </row>
    <row r="766" spans="1:25" ht="16.05" customHeight="1" x14ac:dyDescent="0.3">
      <c r="A766" s="2">
        <v>1030</v>
      </c>
      <c r="B766" s="2">
        <v>15</v>
      </c>
      <c r="C766" s="2">
        <v>2024</v>
      </c>
      <c r="D766" s="3" t="s">
        <v>26</v>
      </c>
      <c r="E766" s="4">
        <v>5450</v>
      </c>
      <c r="F766" s="5">
        <v>255997401.59999999</v>
      </c>
      <c r="G766" s="5">
        <v>55858633.020000003</v>
      </c>
      <c r="H766" s="6">
        <v>21.82</v>
      </c>
      <c r="I766" s="6">
        <v>7.65</v>
      </c>
      <c r="J766" s="5">
        <v>12024.98</v>
      </c>
      <c r="K766" s="5">
        <v>19690.919999999998</v>
      </c>
      <c r="L766" s="5">
        <v>255900320.40000001</v>
      </c>
      <c r="M766" s="5">
        <v>255979767.19999999</v>
      </c>
      <c r="N766" s="5">
        <v>97081.18</v>
      </c>
      <c r="O766" s="5">
        <v>255913553.30000001</v>
      </c>
      <c r="P766" s="5">
        <v>255912252.59999999</v>
      </c>
      <c r="Q766" s="5">
        <v>1300.74</v>
      </c>
      <c r="R766" s="5">
        <v>19583801.219999999</v>
      </c>
      <c r="S766" s="5">
        <v>36274831.799999997</v>
      </c>
      <c r="T766" s="5">
        <v>85325.2</v>
      </c>
      <c r="U766" s="5">
        <v>24923.63</v>
      </c>
      <c r="V766" s="5">
        <v>5497.76</v>
      </c>
      <c r="W766" s="5">
        <v>7735.18</v>
      </c>
      <c r="X766" s="5">
        <v>4423.1400000000003</v>
      </c>
      <c r="Y766" s="4">
        <v>3776768</v>
      </c>
    </row>
    <row r="767" spans="1:25" ht="16.05" customHeight="1" x14ac:dyDescent="0.3">
      <c r="A767" s="7">
        <v>1100</v>
      </c>
      <c r="B767" s="7">
        <v>16</v>
      </c>
      <c r="C767" s="7">
        <v>2024</v>
      </c>
      <c r="D767" s="8" t="s">
        <v>26</v>
      </c>
      <c r="E767" s="9">
        <v>4050</v>
      </c>
      <c r="F767" s="10">
        <v>201900523.09999999</v>
      </c>
      <c r="G767" s="10">
        <v>13022583.74</v>
      </c>
      <c r="H767" s="11">
        <v>6.45</v>
      </c>
      <c r="I767" s="11">
        <v>10.52</v>
      </c>
      <c r="J767" s="10">
        <v>13865.86</v>
      </c>
      <c r="K767" s="10">
        <v>4549.57</v>
      </c>
      <c r="L767" s="10">
        <v>201879256.69999999</v>
      </c>
      <c r="M767" s="10">
        <v>201878479.80000001</v>
      </c>
      <c r="N767" s="10">
        <v>21266.38</v>
      </c>
      <c r="O767" s="10">
        <v>201883764</v>
      </c>
      <c r="P767" s="10">
        <v>201873840.59999999</v>
      </c>
      <c r="Q767" s="10">
        <v>9923.42</v>
      </c>
      <c r="R767" s="10">
        <v>21239935.030000001</v>
      </c>
      <c r="S767" s="10">
        <v>-8217351.29</v>
      </c>
      <c r="T767" s="10">
        <v>94146.46</v>
      </c>
      <c r="U767" s="10">
        <v>28312.17</v>
      </c>
      <c r="V767" s="10">
        <v>3127.01</v>
      </c>
      <c r="W767" s="10">
        <v>1380.3</v>
      </c>
      <c r="X767" s="10">
        <v>2927.54</v>
      </c>
      <c r="Y767" s="9">
        <v>4914120</v>
      </c>
    </row>
    <row r="768" spans="1:25" ht="16.05" customHeight="1" x14ac:dyDescent="0.3">
      <c r="A768" s="2">
        <v>1170</v>
      </c>
      <c r="B768" s="2">
        <v>17</v>
      </c>
      <c r="C768" s="2">
        <v>2024</v>
      </c>
      <c r="D768" s="3" t="s">
        <v>26</v>
      </c>
      <c r="E768" s="4">
        <v>4916</v>
      </c>
      <c r="F768" s="5">
        <v>218026892.80000001</v>
      </c>
      <c r="G768" s="5">
        <v>28299890.68</v>
      </c>
      <c r="H768" s="6">
        <v>12.98</v>
      </c>
      <c r="I768" s="6">
        <v>12.86</v>
      </c>
      <c r="J768" s="5">
        <v>5769.89</v>
      </c>
      <c r="K768" s="5">
        <v>6917.16</v>
      </c>
      <c r="L768" s="5">
        <v>217985190.90000001</v>
      </c>
      <c r="M768" s="5">
        <v>218016412.80000001</v>
      </c>
      <c r="N768" s="5">
        <v>41701.86</v>
      </c>
      <c r="O768" s="5">
        <v>217993991.40000001</v>
      </c>
      <c r="P768" s="5">
        <v>217981781.90000001</v>
      </c>
      <c r="Q768" s="5">
        <v>12209.5</v>
      </c>
      <c r="R768" s="5">
        <v>28038258.41</v>
      </c>
      <c r="S768" s="5">
        <v>261632.27</v>
      </c>
      <c r="T768" s="5">
        <v>60846.1</v>
      </c>
      <c r="U768" s="5">
        <v>10213.51</v>
      </c>
      <c r="V768" s="5">
        <v>6076.18</v>
      </c>
      <c r="W768" s="5">
        <v>2724.34</v>
      </c>
      <c r="X768" s="5">
        <v>3502.67</v>
      </c>
      <c r="Y768" s="4">
        <v>2306836</v>
      </c>
    </row>
    <row r="769" spans="1:25" ht="16.05" customHeight="1" x14ac:dyDescent="0.3">
      <c r="A769" s="7">
        <v>1240</v>
      </c>
      <c r="B769" s="7">
        <v>18</v>
      </c>
      <c r="C769" s="7">
        <v>2024</v>
      </c>
      <c r="D769" s="8" t="s">
        <v>26</v>
      </c>
      <c r="E769" s="9">
        <v>2853</v>
      </c>
      <c r="F769" s="10">
        <v>120871233.90000001</v>
      </c>
      <c r="G769" s="10">
        <v>30169459.989999998</v>
      </c>
      <c r="H769" s="11">
        <v>24.96</v>
      </c>
      <c r="I769" s="11">
        <v>17.79</v>
      </c>
      <c r="J769" s="10">
        <v>1067.49</v>
      </c>
      <c r="K769" s="10">
        <v>13575.39</v>
      </c>
      <c r="L769" s="10">
        <v>120818190.8</v>
      </c>
      <c r="M769" s="10">
        <v>120867452.8</v>
      </c>
      <c r="N769" s="10">
        <v>53043.1</v>
      </c>
      <c r="O769" s="10">
        <v>120829114</v>
      </c>
      <c r="P769" s="10">
        <v>120825826.59999999</v>
      </c>
      <c r="Q769" s="10">
        <v>3287.41</v>
      </c>
      <c r="R769" s="10">
        <v>21502992.52</v>
      </c>
      <c r="S769" s="10">
        <v>8666467.4700000007</v>
      </c>
      <c r="T769" s="10">
        <v>119338.54</v>
      </c>
      <c r="U769" s="10">
        <v>11335.88</v>
      </c>
      <c r="V769" s="10">
        <v>4041.47</v>
      </c>
      <c r="W769" s="10">
        <v>6881.68</v>
      </c>
      <c r="X769" s="10">
        <v>4356.79</v>
      </c>
      <c r="Y769" s="9">
        <v>4544955</v>
      </c>
    </row>
    <row r="770" spans="1:25" ht="16.05" customHeight="1" x14ac:dyDescent="0.3">
      <c r="A770" s="2">
        <v>1310</v>
      </c>
      <c r="B770" s="2">
        <v>19</v>
      </c>
      <c r="C770" s="2">
        <v>2024</v>
      </c>
      <c r="D770" s="3" t="s">
        <v>26</v>
      </c>
      <c r="E770" s="4">
        <v>873</v>
      </c>
      <c r="F770" s="5">
        <v>31982822.440000001</v>
      </c>
      <c r="G770" s="5">
        <v>6278228.04</v>
      </c>
      <c r="H770" s="6">
        <v>19.63</v>
      </c>
      <c r="I770" s="6">
        <v>7.39</v>
      </c>
      <c r="J770" s="5">
        <v>3757.04</v>
      </c>
      <c r="K770" s="5">
        <v>15635.65</v>
      </c>
      <c r="L770" s="5">
        <v>31910857.039999999</v>
      </c>
      <c r="M770" s="5">
        <v>31965177.940000001</v>
      </c>
      <c r="N770" s="5">
        <v>71965.399999999994</v>
      </c>
      <c r="O770" s="5">
        <v>31929977.289999999</v>
      </c>
      <c r="P770" s="5">
        <v>31927302.510000002</v>
      </c>
      <c r="Q770" s="5">
        <v>2674.78</v>
      </c>
      <c r="R770" s="5">
        <v>2363530.58</v>
      </c>
      <c r="S770" s="5">
        <v>3914697.47</v>
      </c>
      <c r="T770" s="5">
        <v>87322.75</v>
      </c>
      <c r="U770" s="5">
        <v>29642.38</v>
      </c>
      <c r="V770" s="5">
        <v>11852.99</v>
      </c>
      <c r="W770" s="5">
        <v>7267.26</v>
      </c>
      <c r="X770" s="5">
        <v>4838.83</v>
      </c>
      <c r="Y770" s="4">
        <v>3386558</v>
      </c>
    </row>
    <row r="771" spans="1:25" ht="16.05" customHeight="1" x14ac:dyDescent="0.3">
      <c r="A771" s="7">
        <v>1380</v>
      </c>
      <c r="B771" s="7">
        <v>20</v>
      </c>
      <c r="C771" s="7">
        <v>2024</v>
      </c>
      <c r="D771" s="8" t="s">
        <v>26</v>
      </c>
      <c r="E771" s="9">
        <v>6787</v>
      </c>
      <c r="F771" s="10">
        <v>188888010.5</v>
      </c>
      <c r="G771" s="10">
        <v>11371058.23</v>
      </c>
      <c r="H771" s="11">
        <v>6.02</v>
      </c>
      <c r="I771" s="11">
        <v>16.79</v>
      </c>
      <c r="J771" s="10">
        <v>10965.4</v>
      </c>
      <c r="K771" s="10">
        <v>10345.4</v>
      </c>
      <c r="L771" s="10">
        <v>188798756.30000001</v>
      </c>
      <c r="M771" s="10">
        <v>188867460.80000001</v>
      </c>
      <c r="N771" s="10">
        <v>89254.15</v>
      </c>
      <c r="O771" s="10">
        <v>188815862.59999999</v>
      </c>
      <c r="P771" s="10">
        <v>188802432.69999999</v>
      </c>
      <c r="Q771" s="10">
        <v>13429.9</v>
      </c>
      <c r="R771" s="10">
        <v>31714296.960000001</v>
      </c>
      <c r="S771" s="10">
        <v>-20343238.73</v>
      </c>
      <c r="T771" s="10">
        <v>98708.19</v>
      </c>
      <c r="U771" s="10">
        <v>48952.41</v>
      </c>
      <c r="V771" s="10">
        <v>9310.4699999999993</v>
      </c>
      <c r="W771" s="10">
        <v>7795.8</v>
      </c>
      <c r="X771" s="10">
        <v>3944.94</v>
      </c>
      <c r="Y771" s="9">
        <v>3137024</v>
      </c>
    </row>
    <row r="772" spans="1:25" ht="16.05" customHeight="1" x14ac:dyDescent="0.3">
      <c r="A772" s="2">
        <v>1450</v>
      </c>
      <c r="B772" s="2">
        <v>21</v>
      </c>
      <c r="C772" s="2">
        <v>2024</v>
      </c>
      <c r="D772" s="3" t="s">
        <v>26</v>
      </c>
      <c r="E772" s="4">
        <v>2452</v>
      </c>
      <c r="F772" s="5">
        <v>119049911.7</v>
      </c>
      <c r="G772" s="5">
        <v>23714742.41</v>
      </c>
      <c r="H772" s="6">
        <v>19.920000000000002</v>
      </c>
      <c r="I772" s="6">
        <v>16.28</v>
      </c>
      <c r="J772" s="5">
        <v>9044.26</v>
      </c>
      <c r="K772" s="5">
        <v>4040.22</v>
      </c>
      <c r="L772" s="5">
        <v>118958364.7</v>
      </c>
      <c r="M772" s="5">
        <v>119036220.2</v>
      </c>
      <c r="N772" s="5">
        <v>91546.96</v>
      </c>
      <c r="O772" s="5">
        <v>118970011</v>
      </c>
      <c r="P772" s="5">
        <v>118957446.7</v>
      </c>
      <c r="Q772" s="5">
        <v>12564.3</v>
      </c>
      <c r="R772" s="5">
        <v>19381325.620000001</v>
      </c>
      <c r="S772" s="5">
        <v>4333416.79</v>
      </c>
      <c r="T772" s="5">
        <v>106173.26</v>
      </c>
      <c r="U772" s="5">
        <v>58141.61</v>
      </c>
      <c r="V772" s="5">
        <v>6702.57</v>
      </c>
      <c r="W772" s="5">
        <v>4943.67</v>
      </c>
      <c r="X772" s="5">
        <v>3400.45</v>
      </c>
      <c r="Y772" s="4">
        <v>3889768</v>
      </c>
    </row>
    <row r="773" spans="1:25" ht="16.05" customHeight="1" x14ac:dyDescent="0.3">
      <c r="A773" s="7">
        <v>1520</v>
      </c>
      <c r="B773" s="7">
        <v>22</v>
      </c>
      <c r="C773" s="7">
        <v>2024</v>
      </c>
      <c r="D773" s="8" t="s">
        <v>26</v>
      </c>
      <c r="E773" s="9">
        <v>704</v>
      </c>
      <c r="F773" s="10">
        <v>25636429.91</v>
      </c>
      <c r="G773" s="10">
        <v>6985927.1500000004</v>
      </c>
      <c r="H773" s="11">
        <v>27.25</v>
      </c>
      <c r="I773" s="11">
        <v>16.02</v>
      </c>
      <c r="J773" s="10">
        <v>6067.46</v>
      </c>
      <c r="K773" s="10">
        <v>9525.94</v>
      </c>
      <c r="L773" s="10">
        <v>25552952.440000001</v>
      </c>
      <c r="M773" s="10">
        <v>25627117.100000001</v>
      </c>
      <c r="N773" s="10">
        <v>83477.47</v>
      </c>
      <c r="O773" s="10">
        <v>25565146.949999999</v>
      </c>
      <c r="P773" s="10">
        <v>25557767.850000001</v>
      </c>
      <c r="Q773" s="10">
        <v>7379.1</v>
      </c>
      <c r="R773" s="10">
        <v>4106956.07</v>
      </c>
      <c r="S773" s="10">
        <v>2878971.08</v>
      </c>
      <c r="T773" s="10">
        <v>75395.199999999997</v>
      </c>
      <c r="U773" s="10">
        <v>34064.58</v>
      </c>
      <c r="V773" s="10">
        <v>11490.99</v>
      </c>
      <c r="W773" s="10">
        <v>703.52</v>
      </c>
      <c r="X773" s="10">
        <v>1249.1099999999999</v>
      </c>
      <c r="Y773" s="9">
        <v>2203036</v>
      </c>
    </row>
    <row r="774" spans="1:25" ht="16.05" customHeight="1" x14ac:dyDescent="0.3">
      <c r="A774" s="2">
        <v>1590</v>
      </c>
      <c r="B774" s="2">
        <v>23</v>
      </c>
      <c r="C774" s="2">
        <v>2024</v>
      </c>
      <c r="D774" s="3" t="s">
        <v>26</v>
      </c>
      <c r="E774" s="4">
        <v>852</v>
      </c>
      <c r="F774" s="5">
        <v>17022554</v>
      </c>
      <c r="G774" s="5">
        <v>4856534.66</v>
      </c>
      <c r="H774" s="6">
        <v>28.53</v>
      </c>
      <c r="I774" s="6">
        <v>9.66</v>
      </c>
      <c r="J774" s="5">
        <v>6941.78</v>
      </c>
      <c r="K774" s="5">
        <v>5652.95</v>
      </c>
      <c r="L774" s="5">
        <v>16970252.07</v>
      </c>
      <c r="M774" s="5">
        <v>16997050.239999998</v>
      </c>
      <c r="N774" s="5">
        <v>52301.93</v>
      </c>
      <c r="O774" s="5">
        <v>16979881.460000001</v>
      </c>
      <c r="P774" s="5">
        <v>16973269.43</v>
      </c>
      <c r="Q774" s="5">
        <v>6612.03</v>
      </c>
      <c r="R774" s="5">
        <v>1644378.72</v>
      </c>
      <c r="S774" s="5">
        <v>3212155.94</v>
      </c>
      <c r="T774" s="5">
        <v>30474.38</v>
      </c>
      <c r="U774" s="5">
        <v>26741.360000000001</v>
      </c>
      <c r="V774" s="5">
        <v>7049.61</v>
      </c>
      <c r="W774" s="5">
        <v>2579.7800000000002</v>
      </c>
      <c r="X774" s="5">
        <v>4222.34</v>
      </c>
      <c r="Y774" s="4">
        <v>2712474</v>
      </c>
    </row>
    <row r="775" spans="1:25" ht="16.05" customHeight="1" x14ac:dyDescent="0.3">
      <c r="A775" s="7">
        <v>1660</v>
      </c>
      <c r="B775" s="7">
        <v>24</v>
      </c>
      <c r="C775" s="7">
        <v>2024</v>
      </c>
      <c r="D775" s="8" t="s">
        <v>26</v>
      </c>
      <c r="E775" s="9">
        <v>1464</v>
      </c>
      <c r="F775" s="10">
        <v>9352947.5099999998</v>
      </c>
      <c r="G775" s="10">
        <v>1889295.4</v>
      </c>
      <c r="H775" s="11">
        <v>20.2</v>
      </c>
      <c r="I775" s="11">
        <v>12.6</v>
      </c>
      <c r="J775" s="10">
        <v>11233.01</v>
      </c>
      <c r="K775" s="10">
        <v>12330.26</v>
      </c>
      <c r="L775" s="10">
        <v>9296955.6699999999</v>
      </c>
      <c r="M775" s="10">
        <v>9345806.6600000001</v>
      </c>
      <c r="N775" s="10">
        <v>55991.839999999997</v>
      </c>
      <c r="O775" s="10">
        <v>9300295.9800000004</v>
      </c>
      <c r="P775" s="10">
        <v>9288618.8000000007</v>
      </c>
      <c r="Q775" s="10">
        <v>11677.18</v>
      </c>
      <c r="R775" s="10">
        <v>1178471.3899999999</v>
      </c>
      <c r="S775" s="10">
        <v>710824.01</v>
      </c>
      <c r="T775" s="10">
        <v>119352.9</v>
      </c>
      <c r="U775" s="10">
        <v>9175.44</v>
      </c>
      <c r="V775" s="10">
        <v>2199.9499999999998</v>
      </c>
      <c r="W775" s="10">
        <v>1140.3599999999999</v>
      </c>
      <c r="X775" s="10">
        <v>3106.71</v>
      </c>
      <c r="Y775" s="9">
        <v>2678904</v>
      </c>
    </row>
    <row r="776" spans="1:25" ht="16.05" customHeight="1" x14ac:dyDescent="0.3">
      <c r="A776" s="2">
        <v>1730</v>
      </c>
      <c r="B776" s="2">
        <v>25</v>
      </c>
      <c r="C776" s="2">
        <v>2024</v>
      </c>
      <c r="D776" s="3" t="s">
        <v>26</v>
      </c>
      <c r="E776" s="4">
        <v>6719</v>
      </c>
      <c r="F776" s="5">
        <v>95547425.459999993</v>
      </c>
      <c r="G776" s="5">
        <v>27957176.690000001</v>
      </c>
      <c r="H776" s="6">
        <v>29.26</v>
      </c>
      <c r="I776" s="6">
        <v>14.41</v>
      </c>
      <c r="J776" s="5">
        <v>1924.21</v>
      </c>
      <c r="K776" s="5">
        <v>17944.28</v>
      </c>
      <c r="L776" s="5">
        <v>95499887.900000006</v>
      </c>
      <c r="M776" s="5">
        <v>95526502.530000001</v>
      </c>
      <c r="N776" s="5">
        <v>47537.56</v>
      </c>
      <c r="O776" s="5">
        <v>95508364.379999995</v>
      </c>
      <c r="P776" s="5">
        <v>95502639.450000003</v>
      </c>
      <c r="Q776" s="5">
        <v>5724.93</v>
      </c>
      <c r="R776" s="5">
        <v>13768384.01</v>
      </c>
      <c r="S776" s="5">
        <v>14188792.68</v>
      </c>
      <c r="T776" s="5">
        <v>40094.26</v>
      </c>
      <c r="U776" s="5">
        <v>12677.25</v>
      </c>
      <c r="V776" s="5">
        <v>7087.86</v>
      </c>
      <c r="W776" s="5">
        <v>1388.62</v>
      </c>
      <c r="X776" s="5">
        <v>1900.71</v>
      </c>
      <c r="Y776" s="4">
        <v>2135399</v>
      </c>
    </row>
    <row r="777" spans="1:25" ht="16.05" customHeight="1" x14ac:dyDescent="0.3">
      <c r="A777" s="7">
        <v>1800</v>
      </c>
      <c r="B777" s="7">
        <v>26</v>
      </c>
      <c r="C777" s="7">
        <v>2024</v>
      </c>
      <c r="D777" s="8" t="s">
        <v>26</v>
      </c>
      <c r="E777" s="9">
        <v>6946</v>
      </c>
      <c r="F777" s="10">
        <v>351584840.30000001</v>
      </c>
      <c r="G777" s="10">
        <v>46514674.380000003</v>
      </c>
      <c r="H777" s="11">
        <v>13.23</v>
      </c>
      <c r="I777" s="11">
        <v>9.65</v>
      </c>
      <c r="J777" s="10">
        <v>5229.62</v>
      </c>
      <c r="K777" s="10">
        <v>18065.02</v>
      </c>
      <c r="L777" s="10">
        <v>351511426.19999999</v>
      </c>
      <c r="M777" s="10">
        <v>351570447.39999998</v>
      </c>
      <c r="N777" s="10">
        <v>73414.09</v>
      </c>
      <c r="O777" s="10">
        <v>351515502.39999998</v>
      </c>
      <c r="P777" s="10">
        <v>351504496.69999999</v>
      </c>
      <c r="Q777" s="10">
        <v>11005.69</v>
      </c>
      <c r="R777" s="10">
        <v>33927937.090000004</v>
      </c>
      <c r="S777" s="10">
        <v>12586737.279999999</v>
      </c>
      <c r="T777" s="10">
        <v>37952.25</v>
      </c>
      <c r="U777" s="10">
        <v>23877.01</v>
      </c>
      <c r="V777" s="10">
        <v>1034.3800000000001</v>
      </c>
      <c r="W777" s="10">
        <v>3041.74</v>
      </c>
      <c r="X777" s="10">
        <v>2281.7399999999998</v>
      </c>
      <c r="Y777" s="9">
        <v>1674652</v>
      </c>
    </row>
    <row r="778" spans="1:25" ht="16.05" customHeight="1" x14ac:dyDescent="0.3">
      <c r="A778" s="2">
        <v>1870</v>
      </c>
      <c r="B778" s="2">
        <v>27</v>
      </c>
      <c r="C778" s="2">
        <v>2024</v>
      </c>
      <c r="D778" s="3" t="s">
        <v>26</v>
      </c>
      <c r="E778" s="4">
        <v>1941</v>
      </c>
      <c r="F778" s="5">
        <v>115588920</v>
      </c>
      <c r="G778" s="5">
        <v>31405509.57</v>
      </c>
      <c r="H778" s="6">
        <v>27.17</v>
      </c>
      <c r="I778" s="6">
        <v>14.78</v>
      </c>
      <c r="J778" s="5">
        <v>14652.77</v>
      </c>
      <c r="K778" s="5">
        <v>19323.97</v>
      </c>
      <c r="L778" s="5">
        <v>115529270.40000001</v>
      </c>
      <c r="M778" s="5">
        <v>115567010.59999999</v>
      </c>
      <c r="N778" s="5">
        <v>59649.64</v>
      </c>
      <c r="O778" s="5">
        <v>115541972.59999999</v>
      </c>
      <c r="P778" s="5">
        <v>115532424.2</v>
      </c>
      <c r="Q778" s="5">
        <v>9548.4</v>
      </c>
      <c r="R778" s="5">
        <v>17084042.379999999</v>
      </c>
      <c r="S778" s="5">
        <v>14321467.189999999</v>
      </c>
      <c r="T778" s="5">
        <v>87334.06</v>
      </c>
      <c r="U778" s="5">
        <v>49919.33</v>
      </c>
      <c r="V778" s="5">
        <v>6633.83</v>
      </c>
      <c r="W778" s="5">
        <v>6068.37</v>
      </c>
      <c r="X778" s="5">
        <v>2624.49</v>
      </c>
      <c r="Y778" s="4">
        <v>3315636</v>
      </c>
    </row>
    <row r="779" spans="1:25" ht="16.05" customHeight="1" x14ac:dyDescent="0.3">
      <c r="A779" s="7">
        <v>1940</v>
      </c>
      <c r="B779" s="7">
        <v>28</v>
      </c>
      <c r="C779" s="7">
        <v>2024</v>
      </c>
      <c r="D779" s="8" t="s">
        <v>26</v>
      </c>
      <c r="E779" s="9">
        <v>2463</v>
      </c>
      <c r="F779" s="10">
        <v>157082976.80000001</v>
      </c>
      <c r="G779" s="10">
        <v>13430594.51</v>
      </c>
      <c r="H779" s="11">
        <v>8.5500000000000007</v>
      </c>
      <c r="I779" s="11">
        <v>6.72</v>
      </c>
      <c r="J779" s="10">
        <v>5774.8</v>
      </c>
      <c r="K779" s="10">
        <v>7007.31</v>
      </c>
      <c r="L779" s="10">
        <v>157069888.19999999</v>
      </c>
      <c r="M779" s="10">
        <v>157067042</v>
      </c>
      <c r="N779" s="10">
        <v>13088.54</v>
      </c>
      <c r="O779" s="10">
        <v>157082547.80000001</v>
      </c>
      <c r="P779" s="10">
        <v>157073744</v>
      </c>
      <c r="Q779" s="10">
        <v>8803.7900000000009</v>
      </c>
      <c r="R779" s="10">
        <v>10555976.039999999</v>
      </c>
      <c r="S779" s="10">
        <v>2874618.48</v>
      </c>
      <c r="T779" s="10">
        <v>42257.22</v>
      </c>
      <c r="U779" s="10">
        <v>35807.93</v>
      </c>
      <c r="V779" s="10">
        <v>11831.75</v>
      </c>
      <c r="W779" s="10">
        <v>827.82</v>
      </c>
      <c r="X779" s="10">
        <v>1758.78</v>
      </c>
      <c r="Y779" s="9">
        <v>3194581</v>
      </c>
    </row>
    <row r="780" spans="1:25" ht="16.05" customHeight="1" x14ac:dyDescent="0.3">
      <c r="A780" s="2">
        <v>2010</v>
      </c>
      <c r="B780" s="2">
        <v>29</v>
      </c>
      <c r="C780" s="2">
        <v>2024</v>
      </c>
      <c r="D780" s="3" t="s">
        <v>26</v>
      </c>
      <c r="E780" s="4">
        <v>6656</v>
      </c>
      <c r="F780" s="5">
        <v>163816801.5</v>
      </c>
      <c r="G780" s="5">
        <v>36367329.939999998</v>
      </c>
      <c r="H780" s="6">
        <v>22.2</v>
      </c>
      <c r="I780" s="6">
        <v>18.14</v>
      </c>
      <c r="J780" s="5">
        <v>7854.38</v>
      </c>
      <c r="K780" s="5">
        <v>14319.96</v>
      </c>
      <c r="L780" s="5">
        <v>163719782</v>
      </c>
      <c r="M780" s="5">
        <v>163803169.80000001</v>
      </c>
      <c r="N780" s="5">
        <v>97019.54</v>
      </c>
      <c r="O780" s="5">
        <v>163726352.69999999</v>
      </c>
      <c r="P780" s="5">
        <v>163725023.5</v>
      </c>
      <c r="Q780" s="5">
        <v>1329.27</v>
      </c>
      <c r="R780" s="5">
        <v>29716367.800000001</v>
      </c>
      <c r="S780" s="5">
        <v>6650962.1399999997</v>
      </c>
      <c r="T780" s="5">
        <v>83910.58</v>
      </c>
      <c r="U780" s="5">
        <v>50667.22</v>
      </c>
      <c r="V780" s="5">
        <v>1443.62</v>
      </c>
      <c r="W780" s="5">
        <v>5127.12</v>
      </c>
      <c r="X780" s="5">
        <v>1080.54</v>
      </c>
      <c r="Y780" s="4">
        <v>1336542</v>
      </c>
    </row>
    <row r="781" spans="1:25" ht="16.05" customHeight="1" x14ac:dyDescent="0.3">
      <c r="A781" s="7">
        <v>2080</v>
      </c>
      <c r="B781" s="7">
        <v>30</v>
      </c>
      <c r="C781" s="7">
        <v>2024</v>
      </c>
      <c r="D781" s="8" t="s">
        <v>26</v>
      </c>
      <c r="E781" s="9">
        <v>5551</v>
      </c>
      <c r="F781" s="10">
        <v>269195584.30000001</v>
      </c>
      <c r="G781" s="10">
        <v>52089345.549999997</v>
      </c>
      <c r="H781" s="11">
        <v>19.350000000000001</v>
      </c>
      <c r="I781" s="11">
        <v>7.32</v>
      </c>
      <c r="J781" s="10">
        <v>11729.69</v>
      </c>
      <c r="K781" s="10">
        <v>15752.39</v>
      </c>
      <c r="L781" s="10">
        <v>269100386.30000001</v>
      </c>
      <c r="M781" s="10">
        <v>269184661.10000002</v>
      </c>
      <c r="N781" s="10">
        <v>95197.94</v>
      </c>
      <c r="O781" s="10">
        <v>269109483.39999998</v>
      </c>
      <c r="P781" s="10">
        <v>269097788.80000001</v>
      </c>
      <c r="Q781" s="10">
        <v>11694.57</v>
      </c>
      <c r="R781" s="10">
        <v>19705116.77</v>
      </c>
      <c r="S781" s="10">
        <v>32384228.789999999</v>
      </c>
      <c r="T781" s="10">
        <v>47607.72</v>
      </c>
      <c r="U781" s="10">
        <v>47674.17</v>
      </c>
      <c r="V781" s="10">
        <v>7865.6</v>
      </c>
      <c r="W781" s="10">
        <v>1231.44</v>
      </c>
      <c r="X781" s="10">
        <v>2614.52</v>
      </c>
      <c r="Y781" s="9">
        <v>1758663</v>
      </c>
    </row>
    <row r="782" spans="1:25" ht="16.05" customHeight="1" x14ac:dyDescent="0.3">
      <c r="A782" s="2">
        <v>2150</v>
      </c>
      <c r="B782" s="2">
        <v>31</v>
      </c>
      <c r="C782" s="2">
        <v>2024</v>
      </c>
      <c r="D782" s="3" t="s">
        <v>26</v>
      </c>
      <c r="E782" s="4">
        <v>2517</v>
      </c>
      <c r="F782" s="5">
        <v>23010233.140000001</v>
      </c>
      <c r="G782" s="5">
        <v>5892920.71</v>
      </c>
      <c r="H782" s="6">
        <v>25.61</v>
      </c>
      <c r="I782" s="6">
        <v>12.81</v>
      </c>
      <c r="J782" s="5">
        <v>9032.52</v>
      </c>
      <c r="K782" s="5">
        <v>4286.33</v>
      </c>
      <c r="L782" s="5">
        <v>22915260.440000001</v>
      </c>
      <c r="M782" s="5">
        <v>22984917.73</v>
      </c>
      <c r="N782" s="5">
        <v>94972.7</v>
      </c>
      <c r="O782" s="5">
        <v>22931404.079999998</v>
      </c>
      <c r="P782" s="5">
        <v>22924821.84</v>
      </c>
      <c r="Q782" s="5">
        <v>6582.24</v>
      </c>
      <c r="R782" s="5">
        <v>2947610.86</v>
      </c>
      <c r="S782" s="5">
        <v>2945309.84</v>
      </c>
      <c r="T782" s="5">
        <v>75492.31</v>
      </c>
      <c r="U782" s="5">
        <v>51850.02</v>
      </c>
      <c r="V782" s="5">
        <v>11704.76</v>
      </c>
      <c r="W782" s="5">
        <v>4438.88</v>
      </c>
      <c r="X782" s="5">
        <v>1945.79</v>
      </c>
      <c r="Y782" s="4">
        <v>3468559</v>
      </c>
    </row>
    <row r="783" spans="1:25" ht="16.05" customHeight="1" x14ac:dyDescent="0.3">
      <c r="A783" s="7">
        <v>2220</v>
      </c>
      <c r="B783" s="7">
        <v>32</v>
      </c>
      <c r="C783" s="7">
        <v>2024</v>
      </c>
      <c r="D783" s="8" t="s">
        <v>26</v>
      </c>
      <c r="E783" s="9">
        <v>1506</v>
      </c>
      <c r="F783" s="10">
        <v>52702797.590000004</v>
      </c>
      <c r="G783" s="10">
        <v>12690833.66</v>
      </c>
      <c r="H783" s="11">
        <v>24.08</v>
      </c>
      <c r="I783" s="11">
        <v>17.8</v>
      </c>
      <c r="J783" s="10">
        <v>1335.93</v>
      </c>
      <c r="K783" s="10">
        <v>2278.15</v>
      </c>
      <c r="L783" s="10">
        <v>52691066.829999998</v>
      </c>
      <c r="M783" s="10">
        <v>52687103.200000003</v>
      </c>
      <c r="N783" s="10">
        <v>11730.76</v>
      </c>
      <c r="O783" s="10">
        <v>52704457.109999999</v>
      </c>
      <c r="P783" s="10">
        <v>52692713.939999998</v>
      </c>
      <c r="Q783" s="10">
        <v>11743.17</v>
      </c>
      <c r="R783" s="10">
        <v>9381097.9700000007</v>
      </c>
      <c r="S783" s="10">
        <v>3309735.69</v>
      </c>
      <c r="T783" s="10">
        <v>52053.72</v>
      </c>
      <c r="U783" s="10">
        <v>43892.27</v>
      </c>
      <c r="V783" s="10">
        <v>8034.36</v>
      </c>
      <c r="W783" s="10">
        <v>5355.92</v>
      </c>
      <c r="X783" s="10">
        <v>4435.04</v>
      </c>
      <c r="Y783" s="9">
        <v>2967383</v>
      </c>
    </row>
    <row r="784" spans="1:25" ht="16.05" customHeight="1" x14ac:dyDescent="0.3">
      <c r="A784" s="2">
        <v>2290</v>
      </c>
      <c r="B784" s="2">
        <v>33</v>
      </c>
      <c r="C784" s="2">
        <v>2024</v>
      </c>
      <c r="D784" s="3" t="s">
        <v>26</v>
      </c>
      <c r="E784" s="4">
        <v>1657</v>
      </c>
      <c r="F784" s="5">
        <v>88987104.680000007</v>
      </c>
      <c r="G784" s="5">
        <v>18002091.280000001</v>
      </c>
      <c r="H784" s="6">
        <v>20.23</v>
      </c>
      <c r="I784" s="6">
        <v>8.81</v>
      </c>
      <c r="J784" s="5">
        <v>4013.38</v>
      </c>
      <c r="K784" s="5">
        <v>9546.43</v>
      </c>
      <c r="L784" s="5">
        <v>88946739.680000007</v>
      </c>
      <c r="M784" s="5">
        <v>88978125.379999995</v>
      </c>
      <c r="N784" s="5">
        <v>40365</v>
      </c>
      <c r="O784" s="5">
        <v>88956865.280000001</v>
      </c>
      <c r="P784" s="5">
        <v>88950503.120000005</v>
      </c>
      <c r="Q784" s="5">
        <v>6362.16</v>
      </c>
      <c r="R784" s="5">
        <v>7839763.9199999999</v>
      </c>
      <c r="S784" s="5">
        <v>10162327.35</v>
      </c>
      <c r="T784" s="5">
        <v>111958.23</v>
      </c>
      <c r="U784" s="5">
        <v>57402.96</v>
      </c>
      <c r="V784" s="5">
        <v>8566.6</v>
      </c>
      <c r="W784" s="5">
        <v>1559</v>
      </c>
      <c r="X784" s="5">
        <v>3534.21</v>
      </c>
      <c r="Y784" s="4">
        <v>4626771</v>
      </c>
    </row>
    <row r="785" spans="1:25" ht="16.05" customHeight="1" x14ac:dyDescent="0.3">
      <c r="A785" s="7">
        <v>2360</v>
      </c>
      <c r="B785" s="7">
        <v>34</v>
      </c>
      <c r="C785" s="7">
        <v>2024</v>
      </c>
      <c r="D785" s="8" t="s">
        <v>26</v>
      </c>
      <c r="E785" s="9">
        <v>1366</v>
      </c>
      <c r="F785" s="10">
        <v>65832558.659999996</v>
      </c>
      <c r="G785" s="10">
        <v>11152035.439999999</v>
      </c>
      <c r="H785" s="11">
        <v>16.940000000000001</v>
      </c>
      <c r="I785" s="11">
        <v>8.24</v>
      </c>
      <c r="J785" s="10">
        <v>3177.95</v>
      </c>
      <c r="K785" s="10">
        <v>13997.65</v>
      </c>
      <c r="L785" s="10">
        <v>65804354.390000001</v>
      </c>
      <c r="M785" s="10">
        <v>65812341.439999998</v>
      </c>
      <c r="N785" s="10">
        <v>28204.27</v>
      </c>
      <c r="O785" s="10">
        <v>65808682.049999997</v>
      </c>
      <c r="P785" s="10">
        <v>65799765.770000003</v>
      </c>
      <c r="Q785" s="10">
        <v>8916.2800000000007</v>
      </c>
      <c r="R785" s="10">
        <v>5424602.8300000001</v>
      </c>
      <c r="S785" s="10">
        <v>5727432.5999999996</v>
      </c>
      <c r="T785" s="10">
        <v>88567.56</v>
      </c>
      <c r="U785" s="10">
        <v>41574.86</v>
      </c>
      <c r="V785" s="10">
        <v>2708.88</v>
      </c>
      <c r="W785" s="10">
        <v>1618.78</v>
      </c>
      <c r="X785" s="10">
        <v>1472.12</v>
      </c>
      <c r="Y785" s="9">
        <v>3724885</v>
      </c>
    </row>
    <row r="786" spans="1:25" ht="16.05" customHeight="1" x14ac:dyDescent="0.3">
      <c r="A786" s="2">
        <v>2430</v>
      </c>
      <c r="B786" s="2">
        <v>35</v>
      </c>
      <c r="C786" s="2">
        <v>2024</v>
      </c>
      <c r="D786" s="3" t="s">
        <v>26</v>
      </c>
      <c r="E786" s="4">
        <v>1362</v>
      </c>
      <c r="F786" s="5">
        <v>69282589.780000001</v>
      </c>
      <c r="G786" s="5">
        <v>8203058.6299999999</v>
      </c>
      <c r="H786" s="6">
        <v>11.84</v>
      </c>
      <c r="I786" s="6">
        <v>11.13</v>
      </c>
      <c r="J786" s="5">
        <v>14943.72</v>
      </c>
      <c r="K786" s="5">
        <v>10246.950000000001</v>
      </c>
      <c r="L786" s="5">
        <v>69209717.409999996</v>
      </c>
      <c r="M786" s="5">
        <v>69278826.599999994</v>
      </c>
      <c r="N786" s="5">
        <v>72872.37</v>
      </c>
      <c r="O786" s="5">
        <v>69218172.709999993</v>
      </c>
      <c r="P786" s="5">
        <v>69207712.900000006</v>
      </c>
      <c r="Q786" s="5">
        <v>10459.81</v>
      </c>
      <c r="R786" s="5">
        <v>7711152.2400000002</v>
      </c>
      <c r="S786" s="5">
        <v>491906.39</v>
      </c>
      <c r="T786" s="5">
        <v>79051.399999999994</v>
      </c>
      <c r="U786" s="5">
        <v>55509.63</v>
      </c>
      <c r="V786" s="5">
        <v>2993.31</v>
      </c>
      <c r="W786" s="5">
        <v>5461.99</v>
      </c>
      <c r="X786" s="5">
        <v>3872.74</v>
      </c>
      <c r="Y786" s="4">
        <v>1914159</v>
      </c>
    </row>
    <row r="787" spans="1:25" ht="16.05" customHeight="1" x14ac:dyDescent="0.3">
      <c r="A787" s="7">
        <v>2500</v>
      </c>
      <c r="B787" s="7">
        <v>36</v>
      </c>
      <c r="C787" s="7">
        <v>2024</v>
      </c>
      <c r="D787" s="8" t="s">
        <v>26</v>
      </c>
      <c r="E787" s="9">
        <v>6590</v>
      </c>
      <c r="F787" s="10">
        <v>102463161.7</v>
      </c>
      <c r="G787" s="10">
        <v>20677066.030000001</v>
      </c>
      <c r="H787" s="11">
        <v>20.18</v>
      </c>
      <c r="I787" s="11">
        <v>13.16</v>
      </c>
      <c r="J787" s="10">
        <v>8097.26</v>
      </c>
      <c r="K787" s="10">
        <v>10724.4</v>
      </c>
      <c r="L787" s="10">
        <v>102390427.3</v>
      </c>
      <c r="M787" s="10">
        <v>102443172.90000001</v>
      </c>
      <c r="N787" s="10">
        <v>72734.460000000006</v>
      </c>
      <c r="O787" s="10">
        <v>102402582.7</v>
      </c>
      <c r="P787" s="10">
        <v>102390404.2</v>
      </c>
      <c r="Q787" s="10">
        <v>12178.46</v>
      </c>
      <c r="R787" s="10">
        <v>13484152.08</v>
      </c>
      <c r="S787" s="10">
        <v>7192913.9500000002</v>
      </c>
      <c r="T787" s="10">
        <v>94244.25</v>
      </c>
      <c r="U787" s="10">
        <v>58264.6</v>
      </c>
      <c r="V787" s="10">
        <v>11473.15</v>
      </c>
      <c r="W787" s="10">
        <v>682.25</v>
      </c>
      <c r="X787" s="10">
        <v>2539.46</v>
      </c>
      <c r="Y787" s="9">
        <v>4950975</v>
      </c>
    </row>
    <row r="788" spans="1:25" ht="16.05" customHeight="1" x14ac:dyDescent="0.3">
      <c r="A788" s="2">
        <v>2570</v>
      </c>
      <c r="B788" s="2">
        <v>37</v>
      </c>
      <c r="C788" s="2">
        <v>2024</v>
      </c>
      <c r="D788" s="3" t="s">
        <v>26</v>
      </c>
      <c r="E788" s="4">
        <v>1702</v>
      </c>
      <c r="F788" s="5">
        <v>87412138.359999999</v>
      </c>
      <c r="G788" s="5">
        <v>9720229.7899999991</v>
      </c>
      <c r="H788" s="6">
        <v>11.12</v>
      </c>
      <c r="I788" s="6">
        <v>6.48</v>
      </c>
      <c r="J788" s="5">
        <v>14771.34</v>
      </c>
      <c r="K788" s="5">
        <v>12484.08</v>
      </c>
      <c r="L788" s="5">
        <v>87339493.859999999</v>
      </c>
      <c r="M788" s="5">
        <v>87392737.450000003</v>
      </c>
      <c r="N788" s="5">
        <v>72644.5</v>
      </c>
      <c r="O788" s="5">
        <v>87355630.969999999</v>
      </c>
      <c r="P788" s="5">
        <v>87344357.5</v>
      </c>
      <c r="Q788" s="5">
        <v>11273.47</v>
      </c>
      <c r="R788" s="5">
        <v>5664306.5700000003</v>
      </c>
      <c r="S788" s="5">
        <v>4055923.22</v>
      </c>
      <c r="T788" s="5">
        <v>63427.55</v>
      </c>
      <c r="U788" s="5">
        <v>13235.84</v>
      </c>
      <c r="V788" s="5">
        <v>10369.65</v>
      </c>
      <c r="W788" s="5">
        <v>5767.46</v>
      </c>
      <c r="X788" s="5">
        <v>4295.97</v>
      </c>
      <c r="Y788" s="4">
        <v>1167213</v>
      </c>
    </row>
    <row r="789" spans="1:25" ht="16.05" customHeight="1" x14ac:dyDescent="0.3">
      <c r="A789" s="7">
        <v>2640</v>
      </c>
      <c r="B789" s="7">
        <v>38</v>
      </c>
      <c r="C789" s="7">
        <v>2024</v>
      </c>
      <c r="D789" s="8" t="s">
        <v>26</v>
      </c>
      <c r="E789" s="9">
        <v>1813</v>
      </c>
      <c r="F789" s="10">
        <v>30230973.649999999</v>
      </c>
      <c r="G789" s="10">
        <v>4528599.8499999996</v>
      </c>
      <c r="H789" s="11">
        <v>14.98</v>
      </c>
      <c r="I789" s="11">
        <v>9.8800000000000008</v>
      </c>
      <c r="J789" s="10">
        <v>5154.08</v>
      </c>
      <c r="K789" s="10">
        <v>3565.4</v>
      </c>
      <c r="L789" s="10">
        <v>30169508.010000002</v>
      </c>
      <c r="M789" s="10">
        <v>30226485.43</v>
      </c>
      <c r="N789" s="10">
        <v>61465.64</v>
      </c>
      <c r="O789" s="10">
        <v>30181242.149999999</v>
      </c>
      <c r="P789" s="10">
        <v>30168817.82</v>
      </c>
      <c r="Q789" s="10">
        <v>12424.33</v>
      </c>
      <c r="R789" s="10">
        <v>2986820.2</v>
      </c>
      <c r="S789" s="10">
        <v>1541779.66</v>
      </c>
      <c r="T789" s="10">
        <v>44032.54</v>
      </c>
      <c r="U789" s="10">
        <v>5171.22</v>
      </c>
      <c r="V789" s="10">
        <v>9033.2199999999993</v>
      </c>
      <c r="W789" s="10">
        <v>2700.92</v>
      </c>
      <c r="X789" s="10">
        <v>4422.46</v>
      </c>
      <c r="Y789" s="9">
        <v>1527494</v>
      </c>
    </row>
    <row r="790" spans="1:25" ht="16.05" customHeight="1" x14ac:dyDescent="0.3">
      <c r="A790" s="2">
        <v>2710</v>
      </c>
      <c r="B790" s="2">
        <v>39</v>
      </c>
      <c r="C790" s="2">
        <v>2024</v>
      </c>
      <c r="D790" s="3" t="s">
        <v>26</v>
      </c>
      <c r="E790" s="4">
        <v>2420</v>
      </c>
      <c r="F790" s="5">
        <v>89985137.909999996</v>
      </c>
      <c r="G790" s="5">
        <v>7792712.9400000004</v>
      </c>
      <c r="H790" s="6">
        <v>8.66</v>
      </c>
      <c r="I790" s="6">
        <v>16.079999999999998</v>
      </c>
      <c r="J790" s="5">
        <v>2527.5</v>
      </c>
      <c r="K790" s="5">
        <v>15477.61</v>
      </c>
      <c r="L790" s="5">
        <v>89900987.209999993</v>
      </c>
      <c r="M790" s="5">
        <v>89972370.730000004</v>
      </c>
      <c r="N790" s="5">
        <v>84150.7</v>
      </c>
      <c r="O790" s="5">
        <v>89908996.719999999</v>
      </c>
      <c r="P790" s="5">
        <v>89899084.909999996</v>
      </c>
      <c r="Q790" s="5">
        <v>9911.81</v>
      </c>
      <c r="R790" s="5">
        <v>14469610.18</v>
      </c>
      <c r="S790" s="5">
        <v>-6676897.2300000004</v>
      </c>
      <c r="T790" s="5">
        <v>115308.93</v>
      </c>
      <c r="U790" s="5">
        <v>23510.42</v>
      </c>
      <c r="V790" s="5">
        <v>5679.28</v>
      </c>
      <c r="W790" s="5">
        <v>2330.23</v>
      </c>
      <c r="X790" s="5">
        <v>1919.24</v>
      </c>
      <c r="Y790" s="4">
        <v>3744957</v>
      </c>
    </row>
    <row r="791" spans="1:25" ht="16.05" customHeight="1" x14ac:dyDescent="0.3">
      <c r="A791" s="7">
        <v>2780</v>
      </c>
      <c r="B791" s="7">
        <v>40</v>
      </c>
      <c r="C791" s="7">
        <v>2024</v>
      </c>
      <c r="D791" s="8" t="s">
        <v>26</v>
      </c>
      <c r="E791" s="9">
        <v>4991</v>
      </c>
      <c r="F791" s="10">
        <v>248563839.90000001</v>
      </c>
      <c r="G791" s="10">
        <v>69299598.549999997</v>
      </c>
      <c r="H791" s="11">
        <v>27.88</v>
      </c>
      <c r="I791" s="11">
        <v>7</v>
      </c>
      <c r="J791" s="10">
        <v>10109.98</v>
      </c>
      <c r="K791" s="10">
        <v>5072.47</v>
      </c>
      <c r="L791" s="10">
        <v>248548649.69999999</v>
      </c>
      <c r="M791" s="10">
        <v>248541149.90000001</v>
      </c>
      <c r="N791" s="10">
        <v>15190.2</v>
      </c>
      <c r="O791" s="10">
        <v>248560477.80000001</v>
      </c>
      <c r="P791" s="10">
        <v>248548599.90000001</v>
      </c>
      <c r="Q791" s="10">
        <v>11877.92</v>
      </c>
      <c r="R791" s="10">
        <v>17399468.789999999</v>
      </c>
      <c r="S791" s="10">
        <v>51900129.759999998</v>
      </c>
      <c r="T791" s="10">
        <v>34111.86</v>
      </c>
      <c r="U791" s="10">
        <v>8916.9</v>
      </c>
      <c r="V791" s="10">
        <v>7537.93</v>
      </c>
      <c r="W791" s="10">
        <v>4290.18</v>
      </c>
      <c r="X791" s="10">
        <v>3471.15</v>
      </c>
      <c r="Y791" s="9">
        <v>4519127</v>
      </c>
    </row>
    <row r="792" spans="1:25" ht="16.05" customHeight="1" x14ac:dyDescent="0.3">
      <c r="A792" s="2">
        <v>2850</v>
      </c>
      <c r="B792" s="2">
        <v>41</v>
      </c>
      <c r="C792" s="2">
        <v>2024</v>
      </c>
      <c r="D792" s="3" t="s">
        <v>26</v>
      </c>
      <c r="E792" s="4">
        <v>1709</v>
      </c>
      <c r="F792" s="5">
        <v>79434611.079999998</v>
      </c>
      <c r="G792" s="5">
        <v>4917002.43</v>
      </c>
      <c r="H792" s="6">
        <v>6.19</v>
      </c>
      <c r="I792" s="6">
        <v>19.100000000000001</v>
      </c>
      <c r="J792" s="5">
        <v>13789.34</v>
      </c>
      <c r="K792" s="5">
        <v>11384.24</v>
      </c>
      <c r="L792" s="5">
        <v>79336855.890000001</v>
      </c>
      <c r="M792" s="5">
        <v>79419618.989999995</v>
      </c>
      <c r="N792" s="5">
        <v>97755.19</v>
      </c>
      <c r="O792" s="5">
        <v>79350441.859999999</v>
      </c>
      <c r="P792" s="5">
        <v>79338771.760000005</v>
      </c>
      <c r="Q792" s="5">
        <v>11670.1</v>
      </c>
      <c r="R792" s="5">
        <v>15172010.720000001</v>
      </c>
      <c r="S792" s="5">
        <v>-10255008.289999999</v>
      </c>
      <c r="T792" s="5">
        <v>54257.34</v>
      </c>
      <c r="U792" s="5">
        <v>56085.71</v>
      </c>
      <c r="V792" s="5">
        <v>7171.16</v>
      </c>
      <c r="W792" s="5">
        <v>6414.81</v>
      </c>
      <c r="X792" s="5">
        <v>2295.0700000000002</v>
      </c>
      <c r="Y792" s="4">
        <v>2735092</v>
      </c>
    </row>
    <row r="793" spans="1:25" ht="16.05" customHeight="1" x14ac:dyDescent="0.3">
      <c r="A793" s="7">
        <v>2920</v>
      </c>
      <c r="B793" s="7">
        <v>42</v>
      </c>
      <c r="C793" s="7">
        <v>2024</v>
      </c>
      <c r="D793" s="8" t="s">
        <v>26</v>
      </c>
      <c r="E793" s="9">
        <v>1349</v>
      </c>
      <c r="F793" s="10">
        <v>71225996.349999994</v>
      </c>
      <c r="G793" s="10">
        <v>3910307.2</v>
      </c>
      <c r="H793" s="11">
        <v>5.49</v>
      </c>
      <c r="I793" s="11">
        <v>19.600000000000001</v>
      </c>
      <c r="J793" s="10">
        <v>5494.09</v>
      </c>
      <c r="K793" s="10">
        <v>12852.78</v>
      </c>
      <c r="L793" s="10">
        <v>71172964.480000004</v>
      </c>
      <c r="M793" s="10">
        <v>71221184.689999998</v>
      </c>
      <c r="N793" s="10">
        <v>53031.87</v>
      </c>
      <c r="O793" s="10">
        <v>71180351.409999996</v>
      </c>
      <c r="P793" s="10">
        <v>71166043.400000006</v>
      </c>
      <c r="Q793" s="10">
        <v>14308.01</v>
      </c>
      <c r="R793" s="10">
        <v>13960295.289999999</v>
      </c>
      <c r="S793" s="10">
        <v>-10049988.09</v>
      </c>
      <c r="T793" s="10">
        <v>14191.83</v>
      </c>
      <c r="U793" s="10">
        <v>5129.1499999999996</v>
      </c>
      <c r="V793" s="10">
        <v>5331.54</v>
      </c>
      <c r="W793" s="10">
        <v>2055.39</v>
      </c>
      <c r="X793" s="10">
        <v>3062.41</v>
      </c>
      <c r="Y793" s="9">
        <v>2699539</v>
      </c>
    </row>
    <row r="794" spans="1:25" ht="16.05" customHeight="1" x14ac:dyDescent="0.3">
      <c r="A794" s="2">
        <v>2990</v>
      </c>
      <c r="B794" s="2">
        <v>43</v>
      </c>
      <c r="C794" s="2">
        <v>2024</v>
      </c>
      <c r="D794" s="3" t="s">
        <v>26</v>
      </c>
      <c r="E794" s="4">
        <v>5234</v>
      </c>
      <c r="F794" s="5">
        <v>241190086.80000001</v>
      </c>
      <c r="G794" s="5">
        <v>49395729.780000001</v>
      </c>
      <c r="H794" s="6">
        <v>20.48</v>
      </c>
      <c r="I794" s="6">
        <v>6.46</v>
      </c>
      <c r="J794" s="5">
        <v>10220.59</v>
      </c>
      <c r="K794" s="5">
        <v>18597.45</v>
      </c>
      <c r="L794" s="5">
        <v>241106410.40000001</v>
      </c>
      <c r="M794" s="5">
        <v>241173642.80000001</v>
      </c>
      <c r="N794" s="5">
        <v>83676.479999999996</v>
      </c>
      <c r="O794" s="5">
        <v>241118215.30000001</v>
      </c>
      <c r="P794" s="5">
        <v>241110414.59999999</v>
      </c>
      <c r="Q794" s="5">
        <v>7800.71</v>
      </c>
      <c r="R794" s="5">
        <v>15580879.609999999</v>
      </c>
      <c r="S794" s="5">
        <v>33814850.170000002</v>
      </c>
      <c r="T794" s="5">
        <v>105577.07</v>
      </c>
      <c r="U794" s="5">
        <v>28201.72</v>
      </c>
      <c r="V794" s="5">
        <v>3994.52</v>
      </c>
      <c r="W794" s="5">
        <v>7810.46</v>
      </c>
      <c r="X794" s="5">
        <v>3548</v>
      </c>
      <c r="Y794" s="4">
        <v>2304779</v>
      </c>
    </row>
    <row r="795" spans="1:25" ht="16.05" customHeight="1" x14ac:dyDescent="0.3">
      <c r="A795" s="7">
        <v>3060</v>
      </c>
      <c r="B795" s="7">
        <v>44</v>
      </c>
      <c r="C795" s="7">
        <v>2024</v>
      </c>
      <c r="D795" s="8" t="s">
        <v>26</v>
      </c>
      <c r="E795" s="9">
        <v>2338</v>
      </c>
      <c r="F795" s="10">
        <v>32799323.850000001</v>
      </c>
      <c r="G795" s="10">
        <v>4024477.04</v>
      </c>
      <c r="H795" s="11">
        <v>12.27</v>
      </c>
      <c r="I795" s="11">
        <v>15.81</v>
      </c>
      <c r="J795" s="10">
        <v>11335.44</v>
      </c>
      <c r="K795" s="10">
        <v>12325.77</v>
      </c>
      <c r="L795" s="10">
        <v>32778621.100000001</v>
      </c>
      <c r="M795" s="10">
        <v>32780609.32</v>
      </c>
      <c r="N795" s="10">
        <v>20702.75</v>
      </c>
      <c r="O795" s="10">
        <v>32787778.780000001</v>
      </c>
      <c r="P795" s="10">
        <v>32785919.09</v>
      </c>
      <c r="Q795" s="10">
        <v>1859.69</v>
      </c>
      <c r="R795" s="10">
        <v>5185573.0999999996</v>
      </c>
      <c r="S795" s="10">
        <v>-1161096.06</v>
      </c>
      <c r="T795" s="10">
        <v>77318.649999999994</v>
      </c>
      <c r="U795" s="10">
        <v>39198.5</v>
      </c>
      <c r="V795" s="10">
        <v>8082.86</v>
      </c>
      <c r="W795" s="10">
        <v>1074.82</v>
      </c>
      <c r="X795" s="10">
        <v>3322.26</v>
      </c>
      <c r="Y795" s="9">
        <v>2814980</v>
      </c>
    </row>
    <row r="796" spans="1:25" ht="16.05" customHeight="1" x14ac:dyDescent="0.3">
      <c r="A796" s="2">
        <v>3130</v>
      </c>
      <c r="B796" s="2">
        <v>45</v>
      </c>
      <c r="C796" s="2">
        <v>2024</v>
      </c>
      <c r="D796" s="3" t="s">
        <v>26</v>
      </c>
      <c r="E796" s="4">
        <v>2813</v>
      </c>
      <c r="F796" s="5">
        <v>166462036</v>
      </c>
      <c r="G796" s="5">
        <v>10670216.51</v>
      </c>
      <c r="H796" s="6">
        <v>6.41</v>
      </c>
      <c r="I796" s="6">
        <v>11.6</v>
      </c>
      <c r="J796" s="5">
        <v>2246.3000000000002</v>
      </c>
      <c r="K796" s="5">
        <v>8974.9</v>
      </c>
      <c r="L796" s="5">
        <v>166419989.69999999</v>
      </c>
      <c r="M796" s="5">
        <v>166439573.80000001</v>
      </c>
      <c r="N796" s="5">
        <v>42046.31</v>
      </c>
      <c r="O796" s="5">
        <v>166430542.5</v>
      </c>
      <c r="P796" s="5">
        <v>166416599.09999999</v>
      </c>
      <c r="Q796" s="5">
        <v>13943.34</v>
      </c>
      <c r="R796" s="5">
        <v>19309596.170000002</v>
      </c>
      <c r="S796" s="5">
        <v>-8639379.6699999999</v>
      </c>
      <c r="T796" s="5">
        <v>31165.24</v>
      </c>
      <c r="U796" s="5">
        <v>43785.97</v>
      </c>
      <c r="V796" s="5">
        <v>6926.87</v>
      </c>
      <c r="W796" s="5">
        <v>3625.93</v>
      </c>
      <c r="X796" s="5">
        <v>1601.04</v>
      </c>
      <c r="Y796" s="4">
        <v>1411282</v>
      </c>
    </row>
    <row r="797" spans="1:25" ht="16.05" customHeight="1" x14ac:dyDescent="0.3">
      <c r="A797" s="7">
        <v>3200</v>
      </c>
      <c r="B797" s="7">
        <v>46</v>
      </c>
      <c r="C797" s="7">
        <v>2024</v>
      </c>
      <c r="D797" s="8" t="s">
        <v>26</v>
      </c>
      <c r="E797" s="9">
        <v>5006</v>
      </c>
      <c r="F797" s="10">
        <v>126004794.3</v>
      </c>
      <c r="G797" s="10">
        <v>28603088.309999999</v>
      </c>
      <c r="H797" s="11">
        <v>22.7</v>
      </c>
      <c r="I797" s="11">
        <v>10.01</v>
      </c>
      <c r="J797" s="10">
        <v>11817.33</v>
      </c>
      <c r="K797" s="10">
        <v>3034</v>
      </c>
      <c r="L797" s="10">
        <v>125983916.09999999</v>
      </c>
      <c r="M797" s="10">
        <v>126001150.2</v>
      </c>
      <c r="N797" s="10">
        <v>20878.169999999998</v>
      </c>
      <c r="O797" s="10">
        <v>126000306.3</v>
      </c>
      <c r="P797" s="10">
        <v>125987949</v>
      </c>
      <c r="Q797" s="10">
        <v>12357.33</v>
      </c>
      <c r="R797" s="10">
        <v>12613079.91</v>
      </c>
      <c r="S797" s="10">
        <v>15990008.4</v>
      </c>
      <c r="T797" s="10">
        <v>23680.35</v>
      </c>
      <c r="U797" s="10">
        <v>37029.019999999997</v>
      </c>
      <c r="V797" s="10">
        <v>11963.73</v>
      </c>
      <c r="W797" s="10">
        <v>4426.42</v>
      </c>
      <c r="X797" s="10">
        <v>2961.54</v>
      </c>
      <c r="Y797" s="9">
        <v>2349364</v>
      </c>
    </row>
    <row r="798" spans="1:25" ht="16.05" customHeight="1" x14ac:dyDescent="0.3">
      <c r="A798" s="2">
        <v>3270</v>
      </c>
      <c r="B798" s="2">
        <v>47</v>
      </c>
      <c r="C798" s="2">
        <v>2024</v>
      </c>
      <c r="D798" s="3" t="s">
        <v>26</v>
      </c>
      <c r="E798" s="4">
        <v>3710</v>
      </c>
      <c r="F798" s="5">
        <v>97690490.489999995</v>
      </c>
      <c r="G798" s="5">
        <v>10531034.869999999</v>
      </c>
      <c r="H798" s="6">
        <v>10.78</v>
      </c>
      <c r="I798" s="6">
        <v>10.35</v>
      </c>
      <c r="J798" s="5">
        <v>13318.15</v>
      </c>
      <c r="K798" s="5">
        <v>10596.12</v>
      </c>
      <c r="L798" s="5">
        <v>97617380.030000001</v>
      </c>
      <c r="M798" s="5">
        <v>97677240.989999995</v>
      </c>
      <c r="N798" s="5">
        <v>73110.460000000006</v>
      </c>
      <c r="O798" s="5">
        <v>97635095.239999995</v>
      </c>
      <c r="P798" s="5">
        <v>97620984.209999993</v>
      </c>
      <c r="Q798" s="5">
        <v>14111.03</v>
      </c>
      <c r="R798" s="5">
        <v>10110965.77</v>
      </c>
      <c r="S798" s="5">
        <v>420069.11</v>
      </c>
      <c r="T798" s="5">
        <v>82399.100000000006</v>
      </c>
      <c r="U798" s="5">
        <v>37217.199999999997</v>
      </c>
      <c r="V798" s="5">
        <v>11512.42</v>
      </c>
      <c r="W798" s="5">
        <v>6202.79</v>
      </c>
      <c r="X798" s="5">
        <v>2497.37</v>
      </c>
      <c r="Y798" s="4">
        <v>2244023</v>
      </c>
    </row>
    <row r="799" spans="1:25" ht="16.05" customHeight="1" x14ac:dyDescent="0.3">
      <c r="A799" s="7">
        <v>3340</v>
      </c>
      <c r="B799" s="7">
        <v>48</v>
      </c>
      <c r="C799" s="7">
        <v>2024</v>
      </c>
      <c r="D799" s="8" t="s">
        <v>26</v>
      </c>
      <c r="E799" s="9">
        <v>2058</v>
      </c>
      <c r="F799" s="10">
        <v>98487276.849999994</v>
      </c>
      <c r="G799" s="10">
        <v>6381975.54</v>
      </c>
      <c r="H799" s="11">
        <v>6.48</v>
      </c>
      <c r="I799" s="11">
        <v>9</v>
      </c>
      <c r="J799" s="10">
        <v>11026.34</v>
      </c>
      <c r="K799" s="10">
        <v>13292.52</v>
      </c>
      <c r="L799" s="10">
        <v>98426512.609999999</v>
      </c>
      <c r="M799" s="10">
        <v>98478440.170000002</v>
      </c>
      <c r="N799" s="10">
        <v>60764.24</v>
      </c>
      <c r="O799" s="10">
        <v>98437825.25</v>
      </c>
      <c r="P799" s="10">
        <v>98435734.049999997</v>
      </c>
      <c r="Q799" s="10">
        <v>2091.1999999999998</v>
      </c>
      <c r="R799" s="10">
        <v>8863854.9199999999</v>
      </c>
      <c r="S799" s="10">
        <v>-2481879.38</v>
      </c>
      <c r="T799" s="10">
        <v>102191.05</v>
      </c>
      <c r="U799" s="10">
        <v>39064.92</v>
      </c>
      <c r="V799" s="10">
        <v>8592.44</v>
      </c>
      <c r="W799" s="10">
        <v>2720.2</v>
      </c>
      <c r="X799" s="10">
        <v>1670.77</v>
      </c>
      <c r="Y799" s="9">
        <v>2483937</v>
      </c>
    </row>
    <row r="800" spans="1:25" ht="16.05" customHeight="1" x14ac:dyDescent="0.3">
      <c r="A800" s="2">
        <v>3410</v>
      </c>
      <c r="B800" s="2">
        <v>49</v>
      </c>
      <c r="C800" s="2">
        <v>2024</v>
      </c>
      <c r="D800" s="3" t="s">
        <v>26</v>
      </c>
      <c r="E800" s="4">
        <v>3481</v>
      </c>
      <c r="F800" s="5">
        <v>140181217.90000001</v>
      </c>
      <c r="G800" s="5">
        <v>31610864.629999999</v>
      </c>
      <c r="H800" s="6">
        <v>22.55</v>
      </c>
      <c r="I800" s="6">
        <v>11.74</v>
      </c>
      <c r="J800" s="5">
        <v>14305.94</v>
      </c>
      <c r="K800" s="5">
        <v>13335.76</v>
      </c>
      <c r="L800" s="5">
        <v>140137669.5</v>
      </c>
      <c r="M800" s="5">
        <v>140155518</v>
      </c>
      <c r="N800" s="5">
        <v>43548.37</v>
      </c>
      <c r="O800" s="5">
        <v>140141886.59999999</v>
      </c>
      <c r="P800" s="5">
        <v>140138868.80000001</v>
      </c>
      <c r="Q800" s="5">
        <v>3017.74</v>
      </c>
      <c r="R800" s="5">
        <v>16457274.98</v>
      </c>
      <c r="S800" s="5">
        <v>15153589.65</v>
      </c>
      <c r="T800" s="5">
        <v>89508.07</v>
      </c>
      <c r="U800" s="5">
        <v>7843.43</v>
      </c>
      <c r="V800" s="5">
        <v>2045.37</v>
      </c>
      <c r="W800" s="5">
        <v>2171.6999999999998</v>
      </c>
      <c r="X800" s="5">
        <v>3736.38</v>
      </c>
      <c r="Y800" s="4">
        <v>4008117</v>
      </c>
    </row>
    <row r="801" spans="1:25" ht="16.05" customHeight="1" x14ac:dyDescent="0.3">
      <c r="A801" s="7">
        <v>3480</v>
      </c>
      <c r="B801" s="7">
        <v>50</v>
      </c>
      <c r="C801" s="7">
        <v>2024</v>
      </c>
      <c r="D801" s="8" t="s">
        <v>26</v>
      </c>
      <c r="E801" s="9">
        <v>5449</v>
      </c>
      <c r="F801" s="10">
        <v>75800434.129999995</v>
      </c>
      <c r="G801" s="10">
        <v>22618849.550000001</v>
      </c>
      <c r="H801" s="11">
        <v>29.84</v>
      </c>
      <c r="I801" s="11">
        <v>11.39</v>
      </c>
      <c r="J801" s="10">
        <v>7602.59</v>
      </c>
      <c r="K801" s="10">
        <v>8133.33</v>
      </c>
      <c r="L801" s="10">
        <v>75780391.930000007</v>
      </c>
      <c r="M801" s="10">
        <v>75784215.299999997</v>
      </c>
      <c r="N801" s="10">
        <v>20042.2</v>
      </c>
      <c r="O801" s="10">
        <v>75798653.069999993</v>
      </c>
      <c r="P801" s="10">
        <v>75794505.989999995</v>
      </c>
      <c r="Q801" s="10">
        <v>4147.08</v>
      </c>
      <c r="R801" s="10">
        <v>8633669.4499999993</v>
      </c>
      <c r="S801" s="10">
        <v>13985180.1</v>
      </c>
      <c r="T801" s="10">
        <v>21477.31</v>
      </c>
      <c r="U801" s="10">
        <v>16601.150000000001</v>
      </c>
      <c r="V801" s="10">
        <v>10306.06</v>
      </c>
      <c r="W801" s="10">
        <v>7955.08</v>
      </c>
      <c r="X801" s="10">
        <v>3996.59</v>
      </c>
      <c r="Y801" s="9">
        <v>2082245</v>
      </c>
    </row>
    <row r="802" spans="1:25" ht="16.05" customHeight="1" x14ac:dyDescent="0.3">
      <c r="A802" s="2">
        <v>40</v>
      </c>
      <c r="B802" s="2">
        <v>1</v>
      </c>
      <c r="C802" s="2">
        <v>2024</v>
      </c>
      <c r="D802" s="3" t="s">
        <v>27</v>
      </c>
      <c r="E802" s="4">
        <v>6652</v>
      </c>
      <c r="F802" s="5">
        <v>70386596.150000006</v>
      </c>
      <c r="G802" s="5">
        <v>20918896.379999999</v>
      </c>
      <c r="H802" s="6">
        <v>29.72</v>
      </c>
      <c r="I802" s="6">
        <v>12.47</v>
      </c>
      <c r="J802" s="5">
        <v>10330.43</v>
      </c>
      <c r="K802" s="5">
        <v>8587.59</v>
      </c>
      <c r="L802" s="5">
        <v>70308476.969999999</v>
      </c>
      <c r="M802" s="5">
        <v>70377319.680000007</v>
      </c>
      <c r="N802" s="5">
        <v>78119.179999999993</v>
      </c>
      <c r="O802" s="5">
        <v>70312948.310000002</v>
      </c>
      <c r="P802" s="5">
        <v>70310104.159999996</v>
      </c>
      <c r="Q802" s="5">
        <v>2844.15</v>
      </c>
      <c r="R802" s="5">
        <v>8777208.5399999991</v>
      </c>
      <c r="S802" s="5">
        <v>12141687.84</v>
      </c>
      <c r="T802" s="5">
        <v>40505.89</v>
      </c>
      <c r="U802" s="5">
        <v>56565.51</v>
      </c>
      <c r="V802" s="5">
        <v>1134.23</v>
      </c>
      <c r="W802" s="5">
        <v>3337.11</v>
      </c>
      <c r="X802" s="5">
        <v>1676.2</v>
      </c>
      <c r="Y802" s="4">
        <v>3493472</v>
      </c>
    </row>
    <row r="803" spans="1:25" ht="16.05" customHeight="1" x14ac:dyDescent="0.3">
      <c r="A803" s="7">
        <v>110</v>
      </c>
      <c r="B803" s="7">
        <v>2</v>
      </c>
      <c r="C803" s="7">
        <v>2024</v>
      </c>
      <c r="D803" s="8" t="s">
        <v>27</v>
      </c>
      <c r="E803" s="9">
        <v>6460</v>
      </c>
      <c r="F803" s="10">
        <v>152327538.19999999</v>
      </c>
      <c r="G803" s="10">
        <v>17548132.399999999</v>
      </c>
      <c r="H803" s="11">
        <v>11.52</v>
      </c>
      <c r="I803" s="11">
        <v>17.04</v>
      </c>
      <c r="J803" s="10">
        <v>5808.44</v>
      </c>
      <c r="K803" s="10">
        <v>19913.7</v>
      </c>
      <c r="L803" s="10">
        <v>152314580.59999999</v>
      </c>
      <c r="M803" s="10">
        <v>152319877.19999999</v>
      </c>
      <c r="N803" s="10">
        <v>12957.6</v>
      </c>
      <c r="O803" s="10">
        <v>152330999.09999999</v>
      </c>
      <c r="P803" s="10">
        <v>152321532.09999999</v>
      </c>
      <c r="Q803" s="10">
        <v>9467.07</v>
      </c>
      <c r="R803" s="10">
        <v>25956612.510000002</v>
      </c>
      <c r="S803" s="10">
        <v>-8408480.1099999994</v>
      </c>
      <c r="T803" s="10">
        <v>43603.34</v>
      </c>
      <c r="U803" s="10">
        <v>30128.28</v>
      </c>
      <c r="V803" s="10">
        <v>8997.34</v>
      </c>
      <c r="W803" s="10">
        <v>7421.19</v>
      </c>
      <c r="X803" s="10">
        <v>4271.8100000000004</v>
      </c>
      <c r="Y803" s="9">
        <v>2620984</v>
      </c>
    </row>
    <row r="804" spans="1:25" ht="16.05" customHeight="1" x14ac:dyDescent="0.3">
      <c r="A804" s="2">
        <v>180</v>
      </c>
      <c r="B804" s="2">
        <v>3</v>
      </c>
      <c r="C804" s="2">
        <v>2024</v>
      </c>
      <c r="D804" s="3" t="s">
        <v>27</v>
      </c>
      <c r="E804" s="4">
        <v>3357</v>
      </c>
      <c r="F804" s="5">
        <v>185552086.69999999</v>
      </c>
      <c r="G804" s="5">
        <v>44309838.310000002</v>
      </c>
      <c r="H804" s="6">
        <v>23.88</v>
      </c>
      <c r="I804" s="6">
        <v>7.51</v>
      </c>
      <c r="J804" s="5">
        <v>12370.34</v>
      </c>
      <c r="K804" s="5">
        <v>11793.67</v>
      </c>
      <c r="L804" s="5">
        <v>185486465.69999999</v>
      </c>
      <c r="M804" s="5">
        <v>185530353.69999999</v>
      </c>
      <c r="N804" s="5">
        <v>65621.039999999994</v>
      </c>
      <c r="O804" s="5">
        <v>185495734.69999999</v>
      </c>
      <c r="P804" s="5">
        <v>185481717.80000001</v>
      </c>
      <c r="Q804" s="5">
        <v>14016.96</v>
      </c>
      <c r="R804" s="5">
        <v>13934961.710000001</v>
      </c>
      <c r="S804" s="5">
        <v>30374876.600000001</v>
      </c>
      <c r="T804" s="5">
        <v>82679.98</v>
      </c>
      <c r="U804" s="5">
        <v>44242.91</v>
      </c>
      <c r="V804" s="5">
        <v>3605.41</v>
      </c>
      <c r="W804" s="5">
        <v>5663.65</v>
      </c>
      <c r="X804" s="5">
        <v>1702.09</v>
      </c>
      <c r="Y804" s="4">
        <v>4341114</v>
      </c>
    </row>
    <row r="805" spans="1:25" ht="16.05" customHeight="1" x14ac:dyDescent="0.3">
      <c r="A805" s="7">
        <v>250</v>
      </c>
      <c r="B805" s="7">
        <v>4</v>
      </c>
      <c r="C805" s="7">
        <v>2024</v>
      </c>
      <c r="D805" s="8" t="s">
        <v>27</v>
      </c>
      <c r="E805" s="9">
        <v>1179</v>
      </c>
      <c r="F805" s="10">
        <v>58681917.020000003</v>
      </c>
      <c r="G805" s="10">
        <v>4741498.8899999997</v>
      </c>
      <c r="H805" s="11">
        <v>8.08</v>
      </c>
      <c r="I805" s="11">
        <v>17.54</v>
      </c>
      <c r="J805" s="10">
        <v>5275.51</v>
      </c>
      <c r="K805" s="10">
        <v>2832.02</v>
      </c>
      <c r="L805" s="10">
        <v>58641127.859999999</v>
      </c>
      <c r="M805" s="10">
        <v>58674347.609999999</v>
      </c>
      <c r="N805" s="10">
        <v>40789.160000000003</v>
      </c>
      <c r="O805" s="10">
        <v>58646030.850000001</v>
      </c>
      <c r="P805" s="10">
        <v>58643690.82</v>
      </c>
      <c r="Q805" s="10">
        <v>2340.0300000000002</v>
      </c>
      <c r="R805" s="10">
        <v>10292808.24</v>
      </c>
      <c r="S805" s="10">
        <v>-5551309.3499999996</v>
      </c>
      <c r="T805" s="10">
        <v>83166.63</v>
      </c>
      <c r="U805" s="10">
        <v>24391.49</v>
      </c>
      <c r="V805" s="10">
        <v>2119.96</v>
      </c>
      <c r="W805" s="10">
        <v>2783.03</v>
      </c>
      <c r="X805" s="10">
        <v>4318.16</v>
      </c>
      <c r="Y805" s="9">
        <v>1678772</v>
      </c>
    </row>
    <row r="806" spans="1:25" ht="16.05" customHeight="1" x14ac:dyDescent="0.3">
      <c r="A806" s="2">
        <v>320</v>
      </c>
      <c r="B806" s="2">
        <v>5</v>
      </c>
      <c r="C806" s="2">
        <v>2024</v>
      </c>
      <c r="D806" s="3" t="s">
        <v>27</v>
      </c>
      <c r="E806" s="4">
        <v>6129</v>
      </c>
      <c r="F806" s="5">
        <v>286860461.10000002</v>
      </c>
      <c r="G806" s="5">
        <v>85685219.739999995</v>
      </c>
      <c r="H806" s="6">
        <v>29.87</v>
      </c>
      <c r="I806" s="6">
        <v>14.87</v>
      </c>
      <c r="J806" s="5">
        <v>13230.78</v>
      </c>
      <c r="K806" s="5">
        <v>5886.94</v>
      </c>
      <c r="L806" s="5">
        <v>286795261.19999999</v>
      </c>
      <c r="M806" s="5">
        <v>286841905.39999998</v>
      </c>
      <c r="N806" s="5">
        <v>65199.92</v>
      </c>
      <c r="O806" s="5">
        <v>286803302</v>
      </c>
      <c r="P806" s="5">
        <v>286799002.89999998</v>
      </c>
      <c r="Q806" s="5">
        <v>4299.16</v>
      </c>
      <c r="R806" s="5">
        <v>42656150.57</v>
      </c>
      <c r="S806" s="5">
        <v>43029069.170000002</v>
      </c>
      <c r="T806" s="5">
        <v>59208.46</v>
      </c>
      <c r="U806" s="5">
        <v>8260.7000000000007</v>
      </c>
      <c r="V806" s="5">
        <v>5128.5200000000004</v>
      </c>
      <c r="W806" s="5">
        <v>2912.28</v>
      </c>
      <c r="X806" s="5">
        <v>4821.6899999999996</v>
      </c>
      <c r="Y806" s="4">
        <v>3155799</v>
      </c>
    </row>
    <row r="807" spans="1:25" ht="16.05" customHeight="1" x14ac:dyDescent="0.3">
      <c r="A807" s="7">
        <v>390</v>
      </c>
      <c r="B807" s="7">
        <v>6</v>
      </c>
      <c r="C807" s="7">
        <v>2024</v>
      </c>
      <c r="D807" s="8" t="s">
        <v>27</v>
      </c>
      <c r="E807" s="9">
        <v>1754</v>
      </c>
      <c r="F807" s="10">
        <v>107388296.2</v>
      </c>
      <c r="G807" s="10">
        <v>30326454.84</v>
      </c>
      <c r="H807" s="11">
        <v>28.24</v>
      </c>
      <c r="I807" s="11">
        <v>10.9</v>
      </c>
      <c r="J807" s="10">
        <v>1103.3</v>
      </c>
      <c r="K807" s="10">
        <v>9140.2000000000007</v>
      </c>
      <c r="L807" s="10">
        <v>107314889.8</v>
      </c>
      <c r="M807" s="10">
        <v>107371577.7</v>
      </c>
      <c r="N807" s="10">
        <v>73406.36</v>
      </c>
      <c r="O807" s="10">
        <v>107327991.09999999</v>
      </c>
      <c r="P807" s="10">
        <v>107324764.5</v>
      </c>
      <c r="Q807" s="10">
        <v>3226.65</v>
      </c>
      <c r="R807" s="10">
        <v>11705324.279999999</v>
      </c>
      <c r="S807" s="10">
        <v>18621130.559999999</v>
      </c>
      <c r="T807" s="10">
        <v>108434.35</v>
      </c>
      <c r="U807" s="10">
        <v>35068.44</v>
      </c>
      <c r="V807" s="10">
        <v>5576.71</v>
      </c>
      <c r="W807" s="10">
        <v>7524.6</v>
      </c>
      <c r="X807" s="10">
        <v>3225.05</v>
      </c>
      <c r="Y807" s="9">
        <v>1190191</v>
      </c>
    </row>
    <row r="808" spans="1:25" ht="16.05" customHeight="1" x14ac:dyDescent="0.3">
      <c r="A808" s="2">
        <v>460</v>
      </c>
      <c r="B808" s="2">
        <v>7</v>
      </c>
      <c r="C808" s="2">
        <v>2024</v>
      </c>
      <c r="D808" s="3" t="s">
        <v>27</v>
      </c>
      <c r="E808" s="4">
        <v>251</v>
      </c>
      <c r="F808" s="5">
        <v>13614666.310000001</v>
      </c>
      <c r="G808" s="5">
        <v>1556156.36</v>
      </c>
      <c r="H808" s="6">
        <v>11.43</v>
      </c>
      <c r="I808" s="6">
        <v>15.1</v>
      </c>
      <c r="J808" s="5">
        <v>8267.99</v>
      </c>
      <c r="K808" s="5">
        <v>5676.82</v>
      </c>
      <c r="L808" s="5">
        <v>13567038.189999999</v>
      </c>
      <c r="M808" s="5">
        <v>13597562.57</v>
      </c>
      <c r="N808" s="5">
        <v>47628.12</v>
      </c>
      <c r="O808" s="5">
        <v>13574389.960000001</v>
      </c>
      <c r="P808" s="5">
        <v>13561848.880000001</v>
      </c>
      <c r="Q808" s="5">
        <v>12541.08</v>
      </c>
      <c r="R808" s="5">
        <v>2055814.61</v>
      </c>
      <c r="S808" s="5">
        <v>-499658.25</v>
      </c>
      <c r="T808" s="5">
        <v>91165.5</v>
      </c>
      <c r="U808" s="5">
        <v>18654.46</v>
      </c>
      <c r="V808" s="5">
        <v>4950.43</v>
      </c>
      <c r="W808" s="5">
        <v>2401.34</v>
      </c>
      <c r="X808" s="5">
        <v>4936.37</v>
      </c>
      <c r="Y808" s="4">
        <v>3229258</v>
      </c>
    </row>
    <row r="809" spans="1:25" ht="16.05" customHeight="1" x14ac:dyDescent="0.3">
      <c r="A809" s="7">
        <v>530</v>
      </c>
      <c r="B809" s="7">
        <v>8</v>
      </c>
      <c r="C809" s="7">
        <v>2024</v>
      </c>
      <c r="D809" s="8" t="s">
        <v>27</v>
      </c>
      <c r="E809" s="9">
        <v>5631</v>
      </c>
      <c r="F809" s="10">
        <v>159028182.09999999</v>
      </c>
      <c r="G809" s="10">
        <v>28275210.780000001</v>
      </c>
      <c r="H809" s="11">
        <v>17.78</v>
      </c>
      <c r="I809" s="11">
        <v>14.77</v>
      </c>
      <c r="J809" s="10">
        <v>4455.54</v>
      </c>
      <c r="K809" s="10">
        <v>18388.240000000002</v>
      </c>
      <c r="L809" s="10">
        <v>158954867.40000001</v>
      </c>
      <c r="M809" s="10">
        <v>159011006.59999999</v>
      </c>
      <c r="N809" s="10">
        <v>73314.7</v>
      </c>
      <c r="O809" s="10">
        <v>158968364.59999999</v>
      </c>
      <c r="P809" s="10">
        <v>158962640.90000001</v>
      </c>
      <c r="Q809" s="10">
        <v>5723.71</v>
      </c>
      <c r="R809" s="10">
        <v>23488462.5</v>
      </c>
      <c r="S809" s="10">
        <v>4786748.28</v>
      </c>
      <c r="T809" s="10">
        <v>77771.679999999993</v>
      </c>
      <c r="U809" s="10">
        <v>22361.34</v>
      </c>
      <c r="V809" s="10">
        <v>5710.25</v>
      </c>
      <c r="W809" s="10">
        <v>7786.95</v>
      </c>
      <c r="X809" s="10">
        <v>2749.7</v>
      </c>
      <c r="Y809" s="9">
        <v>4750487</v>
      </c>
    </row>
    <row r="810" spans="1:25" ht="16.05" customHeight="1" x14ac:dyDescent="0.3">
      <c r="A810" s="2">
        <v>600</v>
      </c>
      <c r="B810" s="2">
        <v>9</v>
      </c>
      <c r="C810" s="2">
        <v>2024</v>
      </c>
      <c r="D810" s="3" t="s">
        <v>27</v>
      </c>
      <c r="E810" s="4">
        <v>3631</v>
      </c>
      <c r="F810" s="5">
        <v>34956359.090000004</v>
      </c>
      <c r="G810" s="5">
        <v>6494891.5199999996</v>
      </c>
      <c r="H810" s="6">
        <v>18.579999999999998</v>
      </c>
      <c r="I810" s="6">
        <v>15.85</v>
      </c>
      <c r="J810" s="5">
        <v>6294.45</v>
      </c>
      <c r="K810" s="5">
        <v>8883.1299999999992</v>
      </c>
      <c r="L810" s="5">
        <v>34931338.43</v>
      </c>
      <c r="M810" s="5">
        <v>34941722.189999998</v>
      </c>
      <c r="N810" s="5">
        <v>25020.66</v>
      </c>
      <c r="O810" s="5">
        <v>34942825.130000003</v>
      </c>
      <c r="P810" s="5">
        <v>34931280.579999998</v>
      </c>
      <c r="Q810" s="5">
        <v>11544.55</v>
      </c>
      <c r="R810" s="5">
        <v>5540582.9199999999</v>
      </c>
      <c r="S810" s="5">
        <v>954308.6</v>
      </c>
      <c r="T810" s="5">
        <v>16602.650000000001</v>
      </c>
      <c r="U810" s="5">
        <v>35438.83</v>
      </c>
      <c r="V810" s="5">
        <v>3760.82</v>
      </c>
      <c r="W810" s="5">
        <v>7725.88</v>
      </c>
      <c r="X810" s="5">
        <v>2316.84</v>
      </c>
      <c r="Y810" s="4">
        <v>4681349</v>
      </c>
    </row>
    <row r="811" spans="1:25" ht="16.05" customHeight="1" x14ac:dyDescent="0.3">
      <c r="A811" s="7">
        <v>670</v>
      </c>
      <c r="B811" s="7">
        <v>10</v>
      </c>
      <c r="C811" s="7">
        <v>2024</v>
      </c>
      <c r="D811" s="8" t="s">
        <v>27</v>
      </c>
      <c r="E811" s="9">
        <v>3880</v>
      </c>
      <c r="F811" s="10">
        <v>223258132.90000001</v>
      </c>
      <c r="G811" s="10">
        <v>63405309.740000002</v>
      </c>
      <c r="H811" s="11">
        <v>28.4</v>
      </c>
      <c r="I811" s="11">
        <v>9.91</v>
      </c>
      <c r="J811" s="10">
        <v>6230.63</v>
      </c>
      <c r="K811" s="10">
        <v>19671.46</v>
      </c>
      <c r="L811" s="10">
        <v>223231087.69999999</v>
      </c>
      <c r="M811" s="10">
        <v>223243280.30000001</v>
      </c>
      <c r="N811" s="10">
        <v>27045.17</v>
      </c>
      <c r="O811" s="10">
        <v>223242355.69999999</v>
      </c>
      <c r="P811" s="10">
        <v>223239446.19999999</v>
      </c>
      <c r="Q811" s="10">
        <v>2909.49</v>
      </c>
      <c r="R811" s="10">
        <v>22124880.969999999</v>
      </c>
      <c r="S811" s="10">
        <v>41280428.770000003</v>
      </c>
      <c r="T811" s="10">
        <v>11752.86</v>
      </c>
      <c r="U811" s="10">
        <v>16707.89</v>
      </c>
      <c r="V811" s="10">
        <v>6663.85</v>
      </c>
      <c r="W811" s="10">
        <v>4604.09</v>
      </c>
      <c r="X811" s="10">
        <v>2698.45</v>
      </c>
      <c r="Y811" s="9">
        <v>4853307</v>
      </c>
    </row>
    <row r="812" spans="1:25" ht="16.05" customHeight="1" x14ac:dyDescent="0.3">
      <c r="A812" s="2">
        <v>740</v>
      </c>
      <c r="B812" s="2">
        <v>11</v>
      </c>
      <c r="C812" s="2">
        <v>2024</v>
      </c>
      <c r="D812" s="3" t="s">
        <v>27</v>
      </c>
      <c r="E812" s="4">
        <v>6663</v>
      </c>
      <c r="F812" s="5">
        <v>33612044.619999997</v>
      </c>
      <c r="G812" s="5">
        <v>6046806.8300000001</v>
      </c>
      <c r="H812" s="6">
        <v>17.989999999999998</v>
      </c>
      <c r="I812" s="6">
        <v>17.739999999999998</v>
      </c>
      <c r="J812" s="5">
        <v>12570.98</v>
      </c>
      <c r="K812" s="5">
        <v>9380.3700000000008</v>
      </c>
      <c r="L812" s="5">
        <v>33581858.729999997</v>
      </c>
      <c r="M812" s="5">
        <v>33598860.82</v>
      </c>
      <c r="N812" s="5">
        <v>30185.89</v>
      </c>
      <c r="O812" s="5">
        <v>33593672.270000003</v>
      </c>
      <c r="P812" s="5">
        <v>33586528.32</v>
      </c>
      <c r="Q812" s="5">
        <v>7143.95</v>
      </c>
      <c r="R812" s="5">
        <v>5962776.7199999997</v>
      </c>
      <c r="S812" s="5">
        <v>84030.11</v>
      </c>
      <c r="T812" s="5">
        <v>82029.13</v>
      </c>
      <c r="U812" s="5">
        <v>18447.169999999998</v>
      </c>
      <c r="V812" s="5">
        <v>10180.39</v>
      </c>
      <c r="W812" s="5">
        <v>1633.15</v>
      </c>
      <c r="X812" s="5">
        <v>4140.8</v>
      </c>
      <c r="Y812" s="4">
        <v>4865233</v>
      </c>
    </row>
    <row r="813" spans="1:25" ht="16.05" customHeight="1" x14ac:dyDescent="0.3">
      <c r="A813" s="7">
        <v>810</v>
      </c>
      <c r="B813" s="7">
        <v>12</v>
      </c>
      <c r="C813" s="7">
        <v>2024</v>
      </c>
      <c r="D813" s="8" t="s">
        <v>27</v>
      </c>
      <c r="E813" s="9">
        <v>220</v>
      </c>
      <c r="F813" s="10">
        <v>4155437.21</v>
      </c>
      <c r="G813" s="10">
        <v>944946.42</v>
      </c>
      <c r="H813" s="11">
        <v>22.74</v>
      </c>
      <c r="I813" s="11">
        <v>12.83</v>
      </c>
      <c r="J813" s="10">
        <v>4858.7299999999996</v>
      </c>
      <c r="K813" s="10">
        <v>9866.91</v>
      </c>
      <c r="L813" s="10">
        <v>4110138.45</v>
      </c>
      <c r="M813" s="10">
        <v>4150604.67</v>
      </c>
      <c r="N813" s="10">
        <v>45298.76</v>
      </c>
      <c r="O813" s="10">
        <v>4118332.01</v>
      </c>
      <c r="P813" s="10">
        <v>4115550.54</v>
      </c>
      <c r="Q813" s="10">
        <v>2781.47</v>
      </c>
      <c r="R813" s="10">
        <v>533142.59</v>
      </c>
      <c r="S813" s="10">
        <v>411803.83</v>
      </c>
      <c r="T813" s="10">
        <v>41499.160000000003</v>
      </c>
      <c r="U813" s="10">
        <v>26912.99</v>
      </c>
      <c r="V813" s="10">
        <v>3792.51</v>
      </c>
      <c r="W813" s="10">
        <v>4401.05</v>
      </c>
      <c r="X813" s="10">
        <v>3206.6</v>
      </c>
      <c r="Y813" s="9">
        <v>4307020</v>
      </c>
    </row>
    <row r="814" spans="1:25" ht="16.05" customHeight="1" x14ac:dyDescent="0.3">
      <c r="A814" s="2">
        <v>880</v>
      </c>
      <c r="B814" s="2">
        <v>13</v>
      </c>
      <c r="C814" s="2">
        <v>2024</v>
      </c>
      <c r="D814" s="3" t="s">
        <v>27</v>
      </c>
      <c r="E814" s="4">
        <v>780</v>
      </c>
      <c r="F814" s="5">
        <v>12460611.84</v>
      </c>
      <c r="G814" s="5">
        <v>2174376.77</v>
      </c>
      <c r="H814" s="6">
        <v>17.45</v>
      </c>
      <c r="I814" s="6">
        <v>7.9</v>
      </c>
      <c r="J814" s="5">
        <v>7484.85</v>
      </c>
      <c r="K814" s="5">
        <v>8313.19</v>
      </c>
      <c r="L814" s="5">
        <v>12387266.24</v>
      </c>
      <c r="M814" s="5">
        <v>12435692.74</v>
      </c>
      <c r="N814" s="5">
        <v>73345.600000000006</v>
      </c>
      <c r="O814" s="5">
        <v>12395207.439999999</v>
      </c>
      <c r="P814" s="5">
        <v>12393395.16</v>
      </c>
      <c r="Q814" s="5">
        <v>1812.28</v>
      </c>
      <c r="R814" s="5">
        <v>984388.34</v>
      </c>
      <c r="S814" s="5">
        <v>1189988.43</v>
      </c>
      <c r="T814" s="5">
        <v>79377.259999999995</v>
      </c>
      <c r="U814" s="5">
        <v>49835.62</v>
      </c>
      <c r="V814" s="5">
        <v>2455.85</v>
      </c>
      <c r="W814" s="5">
        <v>5485.35</v>
      </c>
      <c r="X814" s="5">
        <v>3557.16</v>
      </c>
      <c r="Y814" s="4">
        <v>4962101</v>
      </c>
    </row>
    <row r="815" spans="1:25" ht="16.05" customHeight="1" x14ac:dyDescent="0.3">
      <c r="A815" s="7">
        <v>950</v>
      </c>
      <c r="B815" s="7">
        <v>14</v>
      </c>
      <c r="C815" s="7">
        <v>2024</v>
      </c>
      <c r="D815" s="8" t="s">
        <v>27</v>
      </c>
      <c r="E815" s="9">
        <v>5646</v>
      </c>
      <c r="F815" s="10">
        <v>136990256.19999999</v>
      </c>
      <c r="G815" s="10">
        <v>18534781.670000002</v>
      </c>
      <c r="H815" s="11">
        <v>13.53</v>
      </c>
      <c r="I815" s="11">
        <v>19.440000000000001</v>
      </c>
      <c r="J815" s="10">
        <v>4036.36</v>
      </c>
      <c r="K815" s="10">
        <v>16350.08</v>
      </c>
      <c r="L815" s="10">
        <v>136915705.40000001</v>
      </c>
      <c r="M815" s="10">
        <v>136971058.30000001</v>
      </c>
      <c r="N815" s="10">
        <v>74550.87</v>
      </c>
      <c r="O815" s="10">
        <v>136926272.19999999</v>
      </c>
      <c r="P815" s="10">
        <v>136918651.19999999</v>
      </c>
      <c r="Q815" s="10">
        <v>7621.07</v>
      </c>
      <c r="R815" s="10">
        <v>26630905.809999999</v>
      </c>
      <c r="S815" s="10">
        <v>-8096124.1399999997</v>
      </c>
      <c r="T815" s="10">
        <v>109653.11</v>
      </c>
      <c r="U815" s="10">
        <v>6181.43</v>
      </c>
      <c r="V815" s="10">
        <v>6269.66</v>
      </c>
      <c r="W815" s="10">
        <v>4297.21</v>
      </c>
      <c r="X815" s="10">
        <v>1661.38</v>
      </c>
      <c r="Y815" s="9">
        <v>2017559</v>
      </c>
    </row>
    <row r="816" spans="1:25" ht="16.05" customHeight="1" x14ac:dyDescent="0.3">
      <c r="A816" s="2">
        <v>1020</v>
      </c>
      <c r="B816" s="2">
        <v>15</v>
      </c>
      <c r="C816" s="2">
        <v>2024</v>
      </c>
      <c r="D816" s="3" t="s">
        <v>27</v>
      </c>
      <c r="E816" s="4">
        <v>2184</v>
      </c>
      <c r="F816" s="5">
        <v>21919109</v>
      </c>
      <c r="G816" s="5">
        <v>5464433.8700000001</v>
      </c>
      <c r="H816" s="6">
        <v>24.93</v>
      </c>
      <c r="I816" s="6">
        <v>17.79</v>
      </c>
      <c r="J816" s="5">
        <v>7194.51</v>
      </c>
      <c r="K816" s="5">
        <v>2959.56</v>
      </c>
      <c r="L816" s="5">
        <v>21824000.170000002</v>
      </c>
      <c r="M816" s="5">
        <v>21895028.559999999</v>
      </c>
      <c r="N816" s="5">
        <v>95108.83</v>
      </c>
      <c r="O816" s="5">
        <v>21829357.73</v>
      </c>
      <c r="P816" s="5">
        <v>21824960.300000001</v>
      </c>
      <c r="Q816" s="5">
        <v>4397.43</v>
      </c>
      <c r="R816" s="5">
        <v>3899409.49</v>
      </c>
      <c r="S816" s="5">
        <v>1565024.38</v>
      </c>
      <c r="T816" s="5">
        <v>64166.42</v>
      </c>
      <c r="U816" s="5">
        <v>13421.45</v>
      </c>
      <c r="V816" s="5">
        <v>2158.92</v>
      </c>
      <c r="W816" s="5">
        <v>3198.64</v>
      </c>
      <c r="X816" s="5">
        <v>2862.99</v>
      </c>
      <c r="Y816" s="4">
        <v>2844509</v>
      </c>
    </row>
    <row r="817" spans="1:25" ht="16.05" customHeight="1" x14ac:dyDescent="0.3">
      <c r="A817" s="7">
        <v>1090</v>
      </c>
      <c r="B817" s="7">
        <v>16</v>
      </c>
      <c r="C817" s="7">
        <v>2024</v>
      </c>
      <c r="D817" s="8" t="s">
        <v>27</v>
      </c>
      <c r="E817" s="9">
        <v>3858</v>
      </c>
      <c r="F817" s="10">
        <v>45079383.82</v>
      </c>
      <c r="G817" s="10">
        <v>4341144.66</v>
      </c>
      <c r="H817" s="11">
        <v>9.6300000000000008</v>
      </c>
      <c r="I817" s="11">
        <v>19.239999999999998</v>
      </c>
      <c r="J817" s="10">
        <v>6598.3</v>
      </c>
      <c r="K817" s="10">
        <v>12699.91</v>
      </c>
      <c r="L817" s="10">
        <v>44992920.840000004</v>
      </c>
      <c r="M817" s="10">
        <v>45072572.210000001</v>
      </c>
      <c r="N817" s="10">
        <v>86462.98</v>
      </c>
      <c r="O817" s="10">
        <v>45001950.200000003</v>
      </c>
      <c r="P817" s="10">
        <v>44993709.68</v>
      </c>
      <c r="Q817" s="10">
        <v>8240.52</v>
      </c>
      <c r="R817" s="10">
        <v>8673273.4499999993</v>
      </c>
      <c r="S817" s="10">
        <v>-4332128.78</v>
      </c>
      <c r="T817" s="10">
        <v>82268.08</v>
      </c>
      <c r="U817" s="10">
        <v>17857.91</v>
      </c>
      <c r="V817" s="10">
        <v>6896.4</v>
      </c>
      <c r="W817" s="10">
        <v>2132.96</v>
      </c>
      <c r="X817" s="10">
        <v>3906.06</v>
      </c>
      <c r="Y817" s="9">
        <v>3169361</v>
      </c>
    </row>
    <row r="818" spans="1:25" ht="16.05" customHeight="1" x14ac:dyDescent="0.3">
      <c r="A818" s="2">
        <v>1160</v>
      </c>
      <c r="B818" s="2">
        <v>17</v>
      </c>
      <c r="C818" s="2">
        <v>2024</v>
      </c>
      <c r="D818" s="3" t="s">
        <v>27</v>
      </c>
      <c r="E818" s="4">
        <v>1981</v>
      </c>
      <c r="F818" s="5">
        <v>137848276.19999999</v>
      </c>
      <c r="G818" s="5">
        <v>28093478.690000001</v>
      </c>
      <c r="H818" s="6">
        <v>20.38</v>
      </c>
      <c r="I818" s="6">
        <v>12.09</v>
      </c>
      <c r="J818" s="5">
        <v>9345.3700000000008</v>
      </c>
      <c r="K818" s="5">
        <v>9355.26</v>
      </c>
      <c r="L818" s="5">
        <v>137829266.90000001</v>
      </c>
      <c r="M818" s="5">
        <v>137826301.19999999</v>
      </c>
      <c r="N818" s="5">
        <v>19009.28</v>
      </c>
      <c r="O818" s="5">
        <v>137841034.80000001</v>
      </c>
      <c r="P818" s="5">
        <v>137826867.30000001</v>
      </c>
      <c r="Q818" s="5">
        <v>14167.55</v>
      </c>
      <c r="R818" s="5">
        <v>16665856.59</v>
      </c>
      <c r="S818" s="5">
        <v>11427622.1</v>
      </c>
      <c r="T818" s="5">
        <v>68927.06</v>
      </c>
      <c r="U818" s="5">
        <v>57179.39</v>
      </c>
      <c r="V818" s="5">
        <v>9506.7099999999991</v>
      </c>
      <c r="W818" s="5">
        <v>2261.1999999999998</v>
      </c>
      <c r="X818" s="5">
        <v>1476.25</v>
      </c>
      <c r="Y818" s="4">
        <v>3036675</v>
      </c>
    </row>
    <row r="819" spans="1:25" ht="16.05" customHeight="1" x14ac:dyDescent="0.3">
      <c r="A819" s="7">
        <v>1230</v>
      </c>
      <c r="B819" s="7">
        <v>18</v>
      </c>
      <c r="C819" s="7">
        <v>2024</v>
      </c>
      <c r="D819" s="8" t="s">
        <v>27</v>
      </c>
      <c r="E819" s="9">
        <v>633</v>
      </c>
      <c r="F819" s="10">
        <v>37337540.960000001</v>
      </c>
      <c r="G819" s="10">
        <v>3606806.46</v>
      </c>
      <c r="H819" s="11">
        <v>9.66</v>
      </c>
      <c r="I819" s="11">
        <v>7.27</v>
      </c>
      <c r="J819" s="10">
        <v>9770.57</v>
      </c>
      <c r="K819" s="10">
        <v>18997.46</v>
      </c>
      <c r="L819" s="10">
        <v>37297465.670000002</v>
      </c>
      <c r="M819" s="10">
        <v>37314377.759999998</v>
      </c>
      <c r="N819" s="10">
        <v>40075.29</v>
      </c>
      <c r="O819" s="10">
        <v>37315470.439999998</v>
      </c>
      <c r="P819" s="10">
        <v>37303176.969999999</v>
      </c>
      <c r="Q819" s="10">
        <v>12293.47</v>
      </c>
      <c r="R819" s="10">
        <v>2714439.23</v>
      </c>
      <c r="S819" s="10">
        <v>892367.23</v>
      </c>
      <c r="T819" s="10">
        <v>31738.29</v>
      </c>
      <c r="U819" s="10">
        <v>57033.08</v>
      </c>
      <c r="V819" s="10">
        <v>10148.540000000001</v>
      </c>
      <c r="W819" s="10">
        <v>7856.23</v>
      </c>
      <c r="X819" s="10">
        <v>1400.61</v>
      </c>
      <c r="Y819" s="9">
        <v>4400449</v>
      </c>
    </row>
    <row r="820" spans="1:25" ht="16.05" customHeight="1" x14ac:dyDescent="0.3">
      <c r="A820" s="2">
        <v>1300</v>
      </c>
      <c r="B820" s="2">
        <v>19</v>
      </c>
      <c r="C820" s="2">
        <v>2024</v>
      </c>
      <c r="D820" s="3" t="s">
        <v>27</v>
      </c>
      <c r="E820" s="4">
        <v>5744</v>
      </c>
      <c r="F820" s="5">
        <v>48021808.780000001</v>
      </c>
      <c r="G820" s="5">
        <v>7779533.0199999996</v>
      </c>
      <c r="H820" s="6">
        <v>16.2</v>
      </c>
      <c r="I820" s="6">
        <v>18.21</v>
      </c>
      <c r="J820" s="5">
        <v>3265.64</v>
      </c>
      <c r="K820" s="5">
        <v>16717.68</v>
      </c>
      <c r="L820" s="5">
        <v>47994279.009999998</v>
      </c>
      <c r="M820" s="5">
        <v>48014687.670000002</v>
      </c>
      <c r="N820" s="5">
        <v>27529.77</v>
      </c>
      <c r="O820" s="5">
        <v>48000074.219999999</v>
      </c>
      <c r="P820" s="5">
        <v>47992466.439999998</v>
      </c>
      <c r="Q820" s="5">
        <v>7607.78</v>
      </c>
      <c r="R820" s="5">
        <v>8744771.3800000008</v>
      </c>
      <c r="S820" s="5">
        <v>-965238.36</v>
      </c>
      <c r="T820" s="5">
        <v>97877.04</v>
      </c>
      <c r="U820" s="5">
        <v>52746.17</v>
      </c>
      <c r="V820" s="5">
        <v>2661.24</v>
      </c>
      <c r="W820" s="5">
        <v>3133.97</v>
      </c>
      <c r="X820" s="5">
        <v>4010.74</v>
      </c>
      <c r="Y820" s="4">
        <v>4753937</v>
      </c>
    </row>
    <row r="821" spans="1:25" ht="16.05" customHeight="1" x14ac:dyDescent="0.3">
      <c r="A821" s="7">
        <v>1370</v>
      </c>
      <c r="B821" s="7">
        <v>20</v>
      </c>
      <c r="C821" s="7">
        <v>2024</v>
      </c>
      <c r="D821" s="8" t="s">
        <v>27</v>
      </c>
      <c r="E821" s="9">
        <v>4900</v>
      </c>
      <c r="F821" s="10">
        <v>282405285</v>
      </c>
      <c r="G821" s="10">
        <v>53007472</v>
      </c>
      <c r="H821" s="11">
        <v>18.77</v>
      </c>
      <c r="I821" s="11">
        <v>12.18</v>
      </c>
      <c r="J821" s="10">
        <v>9040.61</v>
      </c>
      <c r="K821" s="10">
        <v>13041.48</v>
      </c>
      <c r="L821" s="10">
        <v>282346641.5</v>
      </c>
      <c r="M821" s="10">
        <v>282400625.10000002</v>
      </c>
      <c r="N821" s="10">
        <v>58643.51</v>
      </c>
      <c r="O821" s="10">
        <v>282353894</v>
      </c>
      <c r="P821" s="10">
        <v>282351176.10000002</v>
      </c>
      <c r="Q821" s="10">
        <v>2717.92</v>
      </c>
      <c r="R821" s="10">
        <v>34396963.719999999</v>
      </c>
      <c r="S821" s="10">
        <v>18610508.280000001</v>
      </c>
      <c r="T821" s="10">
        <v>77970.039999999994</v>
      </c>
      <c r="U821" s="10">
        <v>50366.37</v>
      </c>
      <c r="V821" s="10">
        <v>6655.5</v>
      </c>
      <c r="W821" s="10">
        <v>597.01</v>
      </c>
      <c r="X821" s="10">
        <v>3353.71</v>
      </c>
      <c r="Y821" s="9">
        <v>4199306</v>
      </c>
    </row>
    <row r="822" spans="1:25" ht="16.05" customHeight="1" x14ac:dyDescent="0.3">
      <c r="A822" s="2">
        <v>1440</v>
      </c>
      <c r="B822" s="2">
        <v>21</v>
      </c>
      <c r="C822" s="2">
        <v>2024</v>
      </c>
      <c r="D822" s="3" t="s">
        <v>27</v>
      </c>
      <c r="E822" s="4">
        <v>3650</v>
      </c>
      <c r="F822" s="5">
        <v>27654540.800000001</v>
      </c>
      <c r="G822" s="5">
        <v>5945726.2699999996</v>
      </c>
      <c r="H822" s="6">
        <v>21.5</v>
      </c>
      <c r="I822" s="6">
        <v>19.54</v>
      </c>
      <c r="J822" s="5">
        <v>11036.28</v>
      </c>
      <c r="K822" s="5">
        <v>3843.51</v>
      </c>
      <c r="L822" s="5">
        <v>27582237.289999999</v>
      </c>
      <c r="M822" s="5">
        <v>27641896.359999999</v>
      </c>
      <c r="N822" s="5">
        <v>72303.509999999995</v>
      </c>
      <c r="O822" s="5">
        <v>27591230.760000002</v>
      </c>
      <c r="P822" s="5">
        <v>27578586.890000001</v>
      </c>
      <c r="Q822" s="5">
        <v>12643.87</v>
      </c>
      <c r="R822" s="5">
        <v>5403697.2699999996</v>
      </c>
      <c r="S822" s="5">
        <v>542029</v>
      </c>
      <c r="T822" s="5">
        <v>26415.49</v>
      </c>
      <c r="U822" s="5">
        <v>57372.55</v>
      </c>
      <c r="V822" s="5">
        <v>2274.23</v>
      </c>
      <c r="W822" s="5">
        <v>6719.24</v>
      </c>
      <c r="X822" s="5">
        <v>2189.69</v>
      </c>
      <c r="Y822" s="4">
        <v>2482517</v>
      </c>
    </row>
    <row r="823" spans="1:25" ht="16.05" customHeight="1" x14ac:dyDescent="0.3">
      <c r="A823" s="7">
        <v>1510</v>
      </c>
      <c r="B823" s="7">
        <v>22</v>
      </c>
      <c r="C823" s="7">
        <v>2024</v>
      </c>
      <c r="D823" s="8" t="s">
        <v>27</v>
      </c>
      <c r="E823" s="9">
        <v>1374</v>
      </c>
      <c r="F823" s="10">
        <v>44706586.649999999</v>
      </c>
      <c r="G823" s="10">
        <v>7586707.75</v>
      </c>
      <c r="H823" s="11">
        <v>16.97</v>
      </c>
      <c r="I823" s="11">
        <v>8.66</v>
      </c>
      <c r="J823" s="10">
        <v>5273.6</v>
      </c>
      <c r="K823" s="10">
        <v>18395.900000000001</v>
      </c>
      <c r="L823" s="10">
        <v>44628153.969999999</v>
      </c>
      <c r="M823" s="10">
        <v>44702736.829999998</v>
      </c>
      <c r="N823" s="10">
        <v>78432.679999999993</v>
      </c>
      <c r="O823" s="10">
        <v>44640054.960000001</v>
      </c>
      <c r="P823" s="10">
        <v>44634310.5</v>
      </c>
      <c r="Q823" s="10">
        <v>5744.46</v>
      </c>
      <c r="R823" s="10">
        <v>3871590.3999999999</v>
      </c>
      <c r="S823" s="10">
        <v>3715117.35</v>
      </c>
      <c r="T823" s="10">
        <v>101903.49</v>
      </c>
      <c r="U823" s="10">
        <v>49036.24</v>
      </c>
      <c r="V823" s="10">
        <v>9658.1299999999992</v>
      </c>
      <c r="W823" s="10">
        <v>2242.86</v>
      </c>
      <c r="X823" s="10">
        <v>3774.99</v>
      </c>
      <c r="Y823" s="9">
        <v>1464198</v>
      </c>
    </row>
    <row r="824" spans="1:25" ht="16.05" customHeight="1" x14ac:dyDescent="0.3">
      <c r="A824" s="2">
        <v>1580</v>
      </c>
      <c r="B824" s="2">
        <v>23</v>
      </c>
      <c r="C824" s="2">
        <v>2024</v>
      </c>
      <c r="D824" s="3" t="s">
        <v>27</v>
      </c>
      <c r="E824" s="4">
        <v>2597</v>
      </c>
      <c r="F824" s="5">
        <v>93134996.25</v>
      </c>
      <c r="G824" s="5">
        <v>27577272.390000001</v>
      </c>
      <c r="H824" s="6">
        <v>29.61</v>
      </c>
      <c r="I824" s="6">
        <v>8.8699999999999992</v>
      </c>
      <c r="J824" s="5">
        <v>3718.93</v>
      </c>
      <c r="K824" s="5">
        <v>12856.1</v>
      </c>
      <c r="L824" s="5">
        <v>93107217.25</v>
      </c>
      <c r="M824" s="5">
        <v>93121838.819999993</v>
      </c>
      <c r="N824" s="5">
        <v>27779</v>
      </c>
      <c r="O824" s="5">
        <v>93118084.459999993</v>
      </c>
      <c r="P824" s="5">
        <v>93110552.340000004</v>
      </c>
      <c r="Q824" s="5">
        <v>7532.12</v>
      </c>
      <c r="R824" s="5">
        <v>8261074.1699999999</v>
      </c>
      <c r="S824" s="5">
        <v>19316198.219999999</v>
      </c>
      <c r="T824" s="5">
        <v>49904.29</v>
      </c>
      <c r="U824" s="5">
        <v>17481.97</v>
      </c>
      <c r="V824" s="5">
        <v>9087.39</v>
      </c>
      <c r="W824" s="5">
        <v>1779.82</v>
      </c>
      <c r="X824" s="5">
        <v>2676.39</v>
      </c>
      <c r="Y824" s="4">
        <v>3675629</v>
      </c>
    </row>
    <row r="825" spans="1:25" ht="16.05" customHeight="1" x14ac:dyDescent="0.3">
      <c r="A825" s="7">
        <v>1650</v>
      </c>
      <c r="B825" s="7">
        <v>24</v>
      </c>
      <c r="C825" s="7">
        <v>2024</v>
      </c>
      <c r="D825" s="8" t="s">
        <v>27</v>
      </c>
      <c r="E825" s="9">
        <v>2308</v>
      </c>
      <c r="F825" s="10">
        <v>25747768.5</v>
      </c>
      <c r="G825" s="10">
        <v>2968717.71</v>
      </c>
      <c r="H825" s="11">
        <v>11.53</v>
      </c>
      <c r="I825" s="11">
        <v>11.39</v>
      </c>
      <c r="J825" s="10">
        <v>6085.86</v>
      </c>
      <c r="K825" s="10">
        <v>2814.34</v>
      </c>
      <c r="L825" s="10">
        <v>25672386.460000001</v>
      </c>
      <c r="M825" s="10">
        <v>25738429.079999998</v>
      </c>
      <c r="N825" s="10">
        <v>75382.039999999994</v>
      </c>
      <c r="O825" s="10">
        <v>25682211.359999999</v>
      </c>
      <c r="P825" s="10">
        <v>25677334.149999999</v>
      </c>
      <c r="Q825" s="10">
        <v>4877.21</v>
      </c>
      <c r="R825" s="10">
        <v>2932670.83</v>
      </c>
      <c r="S825" s="10">
        <v>36046.879999999997</v>
      </c>
      <c r="T825" s="10">
        <v>103667.08</v>
      </c>
      <c r="U825" s="10">
        <v>41256.589999999997</v>
      </c>
      <c r="V825" s="10">
        <v>3097.7</v>
      </c>
      <c r="W825" s="10">
        <v>6727.2</v>
      </c>
      <c r="X825" s="10">
        <v>3584.75</v>
      </c>
      <c r="Y825" s="9">
        <v>1800099</v>
      </c>
    </row>
    <row r="826" spans="1:25" ht="16.05" customHeight="1" x14ac:dyDescent="0.3">
      <c r="A826" s="2">
        <v>1720</v>
      </c>
      <c r="B826" s="2">
        <v>25</v>
      </c>
      <c r="C826" s="2">
        <v>2024</v>
      </c>
      <c r="D826" s="3" t="s">
        <v>27</v>
      </c>
      <c r="E826" s="4">
        <v>298</v>
      </c>
      <c r="F826" s="5">
        <v>11620797.49</v>
      </c>
      <c r="G826" s="5">
        <v>1941835.26</v>
      </c>
      <c r="H826" s="6">
        <v>16.71</v>
      </c>
      <c r="I826" s="6">
        <v>9.9499999999999993</v>
      </c>
      <c r="J826" s="5">
        <v>11131.89</v>
      </c>
      <c r="K826" s="5">
        <v>12024.65</v>
      </c>
      <c r="L826" s="5">
        <v>11563946.1</v>
      </c>
      <c r="M826" s="5">
        <v>11600405.92</v>
      </c>
      <c r="N826" s="5">
        <v>56851.39</v>
      </c>
      <c r="O826" s="5">
        <v>11572924.98</v>
      </c>
      <c r="P826" s="5">
        <v>11558242.289999999</v>
      </c>
      <c r="Q826" s="5">
        <v>14682.69</v>
      </c>
      <c r="R826" s="5">
        <v>1156269.3500000001</v>
      </c>
      <c r="S826" s="5">
        <v>785565.91</v>
      </c>
      <c r="T826" s="5">
        <v>114372.47</v>
      </c>
      <c r="U826" s="5">
        <v>58159.14</v>
      </c>
      <c r="V826" s="5">
        <v>2911.88</v>
      </c>
      <c r="W826" s="5">
        <v>6067</v>
      </c>
      <c r="X826" s="5">
        <v>3644.6</v>
      </c>
      <c r="Y826" s="4">
        <v>4889984</v>
      </c>
    </row>
    <row r="827" spans="1:25" ht="16.05" customHeight="1" x14ac:dyDescent="0.3">
      <c r="A827" s="7">
        <v>1790</v>
      </c>
      <c r="B827" s="7">
        <v>26</v>
      </c>
      <c r="C827" s="7">
        <v>2024</v>
      </c>
      <c r="D827" s="8" t="s">
        <v>27</v>
      </c>
      <c r="E827" s="9">
        <v>5373</v>
      </c>
      <c r="F827" s="10">
        <v>342682431.30000001</v>
      </c>
      <c r="G827" s="10">
        <v>37660799.200000003</v>
      </c>
      <c r="H827" s="11">
        <v>10.99</v>
      </c>
      <c r="I827" s="11">
        <v>5.34</v>
      </c>
      <c r="J827" s="10">
        <v>7526.31</v>
      </c>
      <c r="K827" s="10">
        <v>19974.07</v>
      </c>
      <c r="L827" s="10">
        <v>342666976.60000002</v>
      </c>
      <c r="M827" s="10">
        <v>342678252.89999998</v>
      </c>
      <c r="N827" s="10">
        <v>15454.71</v>
      </c>
      <c r="O827" s="10">
        <v>342678526.80000001</v>
      </c>
      <c r="P827" s="10">
        <v>342663804.60000002</v>
      </c>
      <c r="Q827" s="10">
        <v>14722.27</v>
      </c>
      <c r="R827" s="10">
        <v>18299241.829999998</v>
      </c>
      <c r="S827" s="10">
        <v>19361557.370000001</v>
      </c>
      <c r="T827" s="10">
        <v>80917.64</v>
      </c>
      <c r="U827" s="10">
        <v>49206.38</v>
      </c>
      <c r="V827" s="10">
        <v>6254.07</v>
      </c>
      <c r="W827" s="10">
        <v>5296.16</v>
      </c>
      <c r="X827" s="10">
        <v>4088.04</v>
      </c>
      <c r="Y827" s="9">
        <v>3815839</v>
      </c>
    </row>
    <row r="828" spans="1:25" ht="16.05" customHeight="1" x14ac:dyDescent="0.3">
      <c r="A828" s="2">
        <v>1860</v>
      </c>
      <c r="B828" s="2">
        <v>27</v>
      </c>
      <c r="C828" s="2">
        <v>2024</v>
      </c>
      <c r="D828" s="3" t="s">
        <v>27</v>
      </c>
      <c r="E828" s="4">
        <v>1169</v>
      </c>
      <c r="F828" s="5">
        <v>74619248.019999996</v>
      </c>
      <c r="G828" s="5">
        <v>18826436.27</v>
      </c>
      <c r="H828" s="6">
        <v>25.23</v>
      </c>
      <c r="I828" s="6">
        <v>18.010000000000002</v>
      </c>
      <c r="J828" s="5">
        <v>13415.48</v>
      </c>
      <c r="K828" s="5">
        <v>17571.34</v>
      </c>
      <c r="L828" s="5">
        <v>74538635.950000003</v>
      </c>
      <c r="M828" s="5">
        <v>74594449.120000005</v>
      </c>
      <c r="N828" s="5">
        <v>80612.070000000007</v>
      </c>
      <c r="O828" s="5">
        <v>74546799.439999998</v>
      </c>
      <c r="P828" s="5">
        <v>74537507.200000003</v>
      </c>
      <c r="Q828" s="5">
        <v>9292.24</v>
      </c>
      <c r="R828" s="5">
        <v>13438926.57</v>
      </c>
      <c r="S828" s="5">
        <v>5387509.71</v>
      </c>
      <c r="T828" s="5">
        <v>16087.22</v>
      </c>
      <c r="U828" s="5">
        <v>36722.26</v>
      </c>
      <c r="V828" s="5">
        <v>3037.47</v>
      </c>
      <c r="W828" s="5">
        <v>5126.0200000000004</v>
      </c>
      <c r="X828" s="5">
        <v>4357.1400000000003</v>
      </c>
      <c r="Y828" s="4">
        <v>2761449</v>
      </c>
    </row>
    <row r="829" spans="1:25" ht="16.05" customHeight="1" x14ac:dyDescent="0.3">
      <c r="A829" s="7">
        <v>1930</v>
      </c>
      <c r="B829" s="7">
        <v>28</v>
      </c>
      <c r="C829" s="7">
        <v>2024</v>
      </c>
      <c r="D829" s="8" t="s">
        <v>27</v>
      </c>
      <c r="E829" s="9">
        <v>1408</v>
      </c>
      <c r="F829" s="10">
        <v>70770431.359999999</v>
      </c>
      <c r="G829" s="10">
        <v>6836423.6699999999</v>
      </c>
      <c r="H829" s="11">
        <v>9.66</v>
      </c>
      <c r="I829" s="11">
        <v>14.4</v>
      </c>
      <c r="J829" s="10">
        <v>9907.89</v>
      </c>
      <c r="K829" s="10">
        <v>7144.63</v>
      </c>
      <c r="L829" s="10">
        <v>70701416.810000002</v>
      </c>
      <c r="M829" s="10">
        <v>70762472.209999993</v>
      </c>
      <c r="N829" s="10">
        <v>69014.55</v>
      </c>
      <c r="O829" s="10">
        <v>70716476.400000006</v>
      </c>
      <c r="P829" s="10">
        <v>70703416.879999995</v>
      </c>
      <c r="Q829" s="10">
        <v>13059.52</v>
      </c>
      <c r="R829" s="10">
        <v>10190942.119999999</v>
      </c>
      <c r="S829" s="10">
        <v>-3354518.45</v>
      </c>
      <c r="T829" s="10">
        <v>91730.58</v>
      </c>
      <c r="U829" s="10">
        <v>55507</v>
      </c>
      <c r="V829" s="10">
        <v>8466.25</v>
      </c>
      <c r="W829" s="10">
        <v>6593.34</v>
      </c>
      <c r="X829" s="10">
        <v>3552.86</v>
      </c>
      <c r="Y829" s="9">
        <v>1473582</v>
      </c>
    </row>
    <row r="830" spans="1:25" ht="16.05" customHeight="1" x14ac:dyDescent="0.3">
      <c r="A830" s="2">
        <v>2000</v>
      </c>
      <c r="B830" s="2">
        <v>29</v>
      </c>
      <c r="C830" s="2">
        <v>2024</v>
      </c>
      <c r="D830" s="3" t="s">
        <v>27</v>
      </c>
      <c r="E830" s="4">
        <v>2252</v>
      </c>
      <c r="F830" s="5">
        <v>105598813</v>
      </c>
      <c r="G830" s="5">
        <v>15691983.609999999</v>
      </c>
      <c r="H830" s="6">
        <v>14.86</v>
      </c>
      <c r="I830" s="6">
        <v>13.89</v>
      </c>
      <c r="J830" s="5">
        <v>11937.34</v>
      </c>
      <c r="K830" s="5">
        <v>13120.33</v>
      </c>
      <c r="L830" s="5">
        <v>105504988.59999999</v>
      </c>
      <c r="M830" s="5">
        <v>105583203.5</v>
      </c>
      <c r="N830" s="5">
        <v>93824.44</v>
      </c>
      <c r="O830" s="5">
        <v>105517852.3</v>
      </c>
      <c r="P830" s="5">
        <v>105514774.59999999</v>
      </c>
      <c r="Q830" s="5">
        <v>3077.64</v>
      </c>
      <c r="R830" s="5">
        <v>14667675.130000001</v>
      </c>
      <c r="S830" s="5">
        <v>1024308.49</v>
      </c>
      <c r="T830" s="5">
        <v>111843.33</v>
      </c>
      <c r="U830" s="5">
        <v>5165.5</v>
      </c>
      <c r="V830" s="5">
        <v>9950.09</v>
      </c>
      <c r="W830" s="5">
        <v>2913.61</v>
      </c>
      <c r="X830" s="5">
        <v>3982.85</v>
      </c>
      <c r="Y830" s="4">
        <v>3157572</v>
      </c>
    </row>
    <row r="831" spans="1:25" ht="16.05" customHeight="1" x14ac:dyDescent="0.3">
      <c r="A831" s="7">
        <v>2070</v>
      </c>
      <c r="B831" s="7">
        <v>30</v>
      </c>
      <c r="C831" s="7">
        <v>2024</v>
      </c>
      <c r="D831" s="8" t="s">
        <v>27</v>
      </c>
      <c r="E831" s="9">
        <v>3225</v>
      </c>
      <c r="F831" s="10">
        <v>63762675.270000003</v>
      </c>
      <c r="G831" s="10">
        <v>5043627.6100000003</v>
      </c>
      <c r="H831" s="11">
        <v>7.91</v>
      </c>
      <c r="I831" s="11">
        <v>7.69</v>
      </c>
      <c r="J831" s="10">
        <v>10531.65</v>
      </c>
      <c r="K831" s="10">
        <v>3135.13</v>
      </c>
      <c r="L831" s="10">
        <v>63692838.759999998</v>
      </c>
      <c r="M831" s="10">
        <v>63745052.390000001</v>
      </c>
      <c r="N831" s="10">
        <v>69836.509999999995</v>
      </c>
      <c r="O831" s="10">
        <v>63711021.359999999</v>
      </c>
      <c r="P831" s="10">
        <v>63699419.32</v>
      </c>
      <c r="Q831" s="10">
        <v>11602.04</v>
      </c>
      <c r="R831" s="10">
        <v>4903349.7300000004</v>
      </c>
      <c r="S831" s="10">
        <v>140277.89000000001</v>
      </c>
      <c r="T831" s="10">
        <v>28281.18</v>
      </c>
      <c r="U831" s="10">
        <v>11359.85</v>
      </c>
      <c r="V831" s="10">
        <v>10739.62</v>
      </c>
      <c r="W831" s="10">
        <v>7442.98</v>
      </c>
      <c r="X831" s="10">
        <v>2210.37</v>
      </c>
      <c r="Y831" s="9">
        <v>3100387</v>
      </c>
    </row>
    <row r="832" spans="1:25" ht="16.05" customHeight="1" x14ac:dyDescent="0.3">
      <c r="A832" s="2">
        <v>2140</v>
      </c>
      <c r="B832" s="2">
        <v>31</v>
      </c>
      <c r="C832" s="2">
        <v>2024</v>
      </c>
      <c r="D832" s="3" t="s">
        <v>27</v>
      </c>
      <c r="E832" s="4">
        <v>1644</v>
      </c>
      <c r="F832" s="5">
        <v>18084268.02</v>
      </c>
      <c r="G832" s="5">
        <v>1844595.34</v>
      </c>
      <c r="H832" s="6">
        <v>10.199999999999999</v>
      </c>
      <c r="I832" s="6">
        <v>12.49</v>
      </c>
      <c r="J832" s="5">
        <v>3887.73</v>
      </c>
      <c r="K832" s="5">
        <v>4106.12</v>
      </c>
      <c r="L832" s="5">
        <v>18028671.030000001</v>
      </c>
      <c r="M832" s="5">
        <v>18077480.559999999</v>
      </c>
      <c r="N832" s="5">
        <v>55596.99</v>
      </c>
      <c r="O832" s="5">
        <v>18038779.460000001</v>
      </c>
      <c r="P832" s="5">
        <v>18033594.68</v>
      </c>
      <c r="Q832" s="5">
        <v>5184.78</v>
      </c>
      <c r="R832" s="5">
        <v>2258725.08</v>
      </c>
      <c r="S832" s="5">
        <v>-414129.74</v>
      </c>
      <c r="T832" s="5">
        <v>16559.55</v>
      </c>
      <c r="U832" s="5">
        <v>32937.68</v>
      </c>
      <c r="V832" s="5">
        <v>8558.06</v>
      </c>
      <c r="W832" s="5">
        <v>1550.37</v>
      </c>
      <c r="X832" s="5">
        <v>4091.24</v>
      </c>
      <c r="Y832" s="4">
        <v>1685894</v>
      </c>
    </row>
    <row r="833" spans="1:25" ht="16.05" customHeight="1" x14ac:dyDescent="0.3">
      <c r="A833" s="7">
        <v>2210</v>
      </c>
      <c r="B833" s="7">
        <v>32</v>
      </c>
      <c r="C833" s="7">
        <v>2024</v>
      </c>
      <c r="D833" s="8" t="s">
        <v>27</v>
      </c>
      <c r="E833" s="9">
        <v>1637</v>
      </c>
      <c r="F833" s="10">
        <v>12577952.99</v>
      </c>
      <c r="G833" s="10">
        <v>690529.62</v>
      </c>
      <c r="H833" s="11">
        <v>5.49</v>
      </c>
      <c r="I833" s="11">
        <v>11.51</v>
      </c>
      <c r="J833" s="10">
        <v>8607.5400000000009</v>
      </c>
      <c r="K833" s="10">
        <v>3741.05</v>
      </c>
      <c r="L833" s="10">
        <v>12552118.59</v>
      </c>
      <c r="M833" s="10">
        <v>12563782.9</v>
      </c>
      <c r="N833" s="10">
        <v>25834.400000000001</v>
      </c>
      <c r="O833" s="10">
        <v>12567219.630000001</v>
      </c>
      <c r="P833" s="10">
        <v>12559267.52</v>
      </c>
      <c r="Q833" s="10">
        <v>7952.11</v>
      </c>
      <c r="R833" s="10">
        <v>1447722.39</v>
      </c>
      <c r="S833" s="10">
        <v>-757192.77</v>
      </c>
      <c r="T833" s="10">
        <v>102629.46</v>
      </c>
      <c r="U833" s="10">
        <v>58770.3</v>
      </c>
      <c r="V833" s="10">
        <v>9668.3799999999992</v>
      </c>
      <c r="W833" s="10">
        <v>5432.66</v>
      </c>
      <c r="X833" s="10">
        <v>3471.63</v>
      </c>
      <c r="Y833" s="9">
        <v>3180964</v>
      </c>
    </row>
    <row r="834" spans="1:25" ht="16.05" customHeight="1" x14ac:dyDescent="0.3">
      <c r="A834" s="2">
        <v>2280</v>
      </c>
      <c r="B834" s="2">
        <v>33</v>
      </c>
      <c r="C834" s="2">
        <v>2024</v>
      </c>
      <c r="D834" s="3" t="s">
        <v>27</v>
      </c>
      <c r="E834" s="4">
        <v>4076</v>
      </c>
      <c r="F834" s="5">
        <v>39509565.170000002</v>
      </c>
      <c r="G834" s="5">
        <v>5282428.8600000003</v>
      </c>
      <c r="H834" s="6">
        <v>13.37</v>
      </c>
      <c r="I834" s="6">
        <v>10.56</v>
      </c>
      <c r="J834" s="5">
        <v>11268.52</v>
      </c>
      <c r="K834" s="5">
        <v>8613.07</v>
      </c>
      <c r="L834" s="5">
        <v>39415852.5</v>
      </c>
      <c r="M834" s="5">
        <v>39486582.210000001</v>
      </c>
      <c r="N834" s="5">
        <v>93712.67</v>
      </c>
      <c r="O834" s="5">
        <v>39423276.75</v>
      </c>
      <c r="P834" s="5">
        <v>39416996.380000003</v>
      </c>
      <c r="Q834" s="5">
        <v>6280.37</v>
      </c>
      <c r="R834" s="5">
        <v>4172210.08</v>
      </c>
      <c r="S834" s="5">
        <v>1110218.78</v>
      </c>
      <c r="T834" s="5">
        <v>89427.05</v>
      </c>
      <c r="U834" s="5">
        <v>50651.5</v>
      </c>
      <c r="V834" s="5">
        <v>2138.39</v>
      </c>
      <c r="W834" s="5">
        <v>5285.86</v>
      </c>
      <c r="X834" s="5">
        <v>1081.8499999999999</v>
      </c>
      <c r="Y834" s="4">
        <v>4921583</v>
      </c>
    </row>
    <row r="835" spans="1:25" ht="16.05" customHeight="1" x14ac:dyDescent="0.3">
      <c r="A835" s="7">
        <v>2350</v>
      </c>
      <c r="B835" s="7">
        <v>34</v>
      </c>
      <c r="C835" s="7">
        <v>2024</v>
      </c>
      <c r="D835" s="8" t="s">
        <v>27</v>
      </c>
      <c r="E835" s="9">
        <v>3828</v>
      </c>
      <c r="F835" s="10">
        <v>177325254.19999999</v>
      </c>
      <c r="G835" s="10">
        <v>41174924.020000003</v>
      </c>
      <c r="H835" s="11">
        <v>23.22</v>
      </c>
      <c r="I835" s="11">
        <v>14.35</v>
      </c>
      <c r="J835" s="10">
        <v>10154.85</v>
      </c>
      <c r="K835" s="10">
        <v>6661.79</v>
      </c>
      <c r="L835" s="10">
        <v>177226643.30000001</v>
      </c>
      <c r="M835" s="10">
        <v>177303934.59999999</v>
      </c>
      <c r="N835" s="10">
        <v>98610.86</v>
      </c>
      <c r="O835" s="10">
        <v>177231793.30000001</v>
      </c>
      <c r="P835" s="10">
        <v>177219823.59999999</v>
      </c>
      <c r="Q835" s="10">
        <v>11969.62</v>
      </c>
      <c r="R835" s="10">
        <v>25446173.969999999</v>
      </c>
      <c r="S835" s="10">
        <v>15728750.039999999</v>
      </c>
      <c r="T835" s="10">
        <v>90985.37</v>
      </c>
      <c r="U835" s="10">
        <v>37146.910000000003</v>
      </c>
      <c r="V835" s="10">
        <v>2395.21</v>
      </c>
      <c r="W835" s="10">
        <v>2754.74</v>
      </c>
      <c r="X835" s="10">
        <v>4047.69</v>
      </c>
      <c r="Y835" s="9">
        <v>2437882</v>
      </c>
    </row>
    <row r="836" spans="1:25" ht="16.05" customHeight="1" x14ac:dyDescent="0.3">
      <c r="A836" s="2">
        <v>2420</v>
      </c>
      <c r="B836" s="2">
        <v>35</v>
      </c>
      <c r="C836" s="2">
        <v>2024</v>
      </c>
      <c r="D836" s="3" t="s">
        <v>27</v>
      </c>
      <c r="E836" s="4">
        <v>2991</v>
      </c>
      <c r="F836" s="5">
        <v>63004477.729999997</v>
      </c>
      <c r="G836" s="5">
        <v>12329976.289999999</v>
      </c>
      <c r="H836" s="6">
        <v>19.57</v>
      </c>
      <c r="I836" s="6">
        <v>10.27</v>
      </c>
      <c r="J836" s="5">
        <v>6014.32</v>
      </c>
      <c r="K836" s="5">
        <v>15795.46</v>
      </c>
      <c r="L836" s="5">
        <v>62986004.810000002</v>
      </c>
      <c r="M836" s="5">
        <v>62981546.899999999</v>
      </c>
      <c r="N836" s="5">
        <v>18472.919999999998</v>
      </c>
      <c r="O836" s="5">
        <v>63001569.920000002</v>
      </c>
      <c r="P836" s="5">
        <v>62990245.07</v>
      </c>
      <c r="Q836" s="5">
        <v>11324.85</v>
      </c>
      <c r="R836" s="5">
        <v>6470559.8600000003</v>
      </c>
      <c r="S836" s="5">
        <v>5859416.4299999997</v>
      </c>
      <c r="T836" s="5">
        <v>117382.75</v>
      </c>
      <c r="U836" s="5">
        <v>57653.08</v>
      </c>
      <c r="V836" s="5">
        <v>9195.5400000000009</v>
      </c>
      <c r="W836" s="5">
        <v>6369.57</v>
      </c>
      <c r="X836" s="5">
        <v>1425.78</v>
      </c>
      <c r="Y836" s="4">
        <v>3790473</v>
      </c>
    </row>
    <row r="837" spans="1:25" ht="16.05" customHeight="1" x14ac:dyDescent="0.3">
      <c r="A837" s="7">
        <v>2490</v>
      </c>
      <c r="B837" s="7">
        <v>36</v>
      </c>
      <c r="C837" s="7">
        <v>2024</v>
      </c>
      <c r="D837" s="8" t="s">
        <v>27</v>
      </c>
      <c r="E837" s="9">
        <v>6250</v>
      </c>
      <c r="F837" s="10">
        <v>296888461</v>
      </c>
      <c r="G837" s="10">
        <v>74904958.719999999</v>
      </c>
      <c r="H837" s="11">
        <v>25.23</v>
      </c>
      <c r="I837" s="11">
        <v>9.1199999999999992</v>
      </c>
      <c r="J837" s="10">
        <v>14956.86</v>
      </c>
      <c r="K837" s="10">
        <v>5676.28</v>
      </c>
      <c r="L837" s="10">
        <v>296841473.60000002</v>
      </c>
      <c r="M837" s="10">
        <v>296865054.39999998</v>
      </c>
      <c r="N837" s="10">
        <v>46987.44</v>
      </c>
      <c r="O837" s="10">
        <v>296849741.69999999</v>
      </c>
      <c r="P837" s="10">
        <v>296836391.5</v>
      </c>
      <c r="Q837" s="10">
        <v>13350.19</v>
      </c>
      <c r="R837" s="10">
        <v>27076227.649999999</v>
      </c>
      <c r="S837" s="10">
        <v>47828731.07</v>
      </c>
      <c r="T837" s="10">
        <v>46203.44</v>
      </c>
      <c r="U837" s="10">
        <v>51117.42</v>
      </c>
      <c r="V837" s="10">
        <v>1495.33</v>
      </c>
      <c r="W837" s="10">
        <v>6772.8</v>
      </c>
      <c r="X837" s="10">
        <v>3640.6</v>
      </c>
      <c r="Y837" s="9">
        <v>1344991</v>
      </c>
    </row>
    <row r="838" spans="1:25" ht="16.05" customHeight="1" x14ac:dyDescent="0.3">
      <c r="A838" s="2">
        <v>2560</v>
      </c>
      <c r="B838" s="2">
        <v>37</v>
      </c>
      <c r="C838" s="2">
        <v>2024</v>
      </c>
      <c r="D838" s="3" t="s">
        <v>27</v>
      </c>
      <c r="E838" s="4">
        <v>1980</v>
      </c>
      <c r="F838" s="5">
        <v>110931020.09999999</v>
      </c>
      <c r="G838" s="5">
        <v>18991390.640000001</v>
      </c>
      <c r="H838" s="6">
        <v>17.12</v>
      </c>
      <c r="I838" s="6">
        <v>14.06</v>
      </c>
      <c r="J838" s="5">
        <v>14143.68</v>
      </c>
      <c r="K838" s="5">
        <v>7462.53</v>
      </c>
      <c r="L838" s="5">
        <v>110843131.40000001</v>
      </c>
      <c r="M838" s="5">
        <v>110909006.40000001</v>
      </c>
      <c r="N838" s="5">
        <v>87888.69</v>
      </c>
      <c r="O838" s="5">
        <v>110848172</v>
      </c>
      <c r="P838" s="5">
        <v>110837159.40000001</v>
      </c>
      <c r="Q838" s="5">
        <v>11012.56</v>
      </c>
      <c r="R838" s="5">
        <v>15596901.42</v>
      </c>
      <c r="S838" s="5">
        <v>3394489.22</v>
      </c>
      <c r="T838" s="5">
        <v>71085.119999999995</v>
      </c>
      <c r="U838" s="5">
        <v>54269.56</v>
      </c>
      <c r="V838" s="5">
        <v>4262.54</v>
      </c>
      <c r="W838" s="5">
        <v>778.02</v>
      </c>
      <c r="X838" s="5">
        <v>1494.83</v>
      </c>
      <c r="Y838" s="4">
        <v>3713578</v>
      </c>
    </row>
    <row r="839" spans="1:25" ht="16.05" customHeight="1" x14ac:dyDescent="0.3">
      <c r="A839" s="7">
        <v>2630</v>
      </c>
      <c r="B839" s="7">
        <v>38</v>
      </c>
      <c r="C839" s="7">
        <v>2024</v>
      </c>
      <c r="D839" s="8" t="s">
        <v>27</v>
      </c>
      <c r="E839" s="9">
        <v>2373</v>
      </c>
      <c r="F839" s="10">
        <v>117201688.2</v>
      </c>
      <c r="G839" s="10">
        <v>29007417.84</v>
      </c>
      <c r="H839" s="11">
        <v>24.75</v>
      </c>
      <c r="I839" s="11">
        <v>18.5</v>
      </c>
      <c r="J839" s="10">
        <v>7148.66</v>
      </c>
      <c r="K839" s="10">
        <v>11487.58</v>
      </c>
      <c r="L839" s="10">
        <v>117117097.7</v>
      </c>
      <c r="M839" s="10">
        <v>117193416</v>
      </c>
      <c r="N839" s="10">
        <v>84590.48</v>
      </c>
      <c r="O839" s="10">
        <v>117126482.09999999</v>
      </c>
      <c r="P839" s="10">
        <v>117112423.40000001</v>
      </c>
      <c r="Q839" s="10">
        <v>14058.73</v>
      </c>
      <c r="R839" s="10">
        <v>21682312.32</v>
      </c>
      <c r="S839" s="10">
        <v>7325105.5099999998</v>
      </c>
      <c r="T839" s="10">
        <v>48707.34</v>
      </c>
      <c r="U839" s="10">
        <v>20924.75</v>
      </c>
      <c r="V839" s="10">
        <v>4827.8900000000003</v>
      </c>
      <c r="W839" s="10">
        <v>4556.4799999999996</v>
      </c>
      <c r="X839" s="10">
        <v>2867.95</v>
      </c>
      <c r="Y839" s="9">
        <v>3540638</v>
      </c>
    </row>
    <row r="840" spans="1:25" ht="16.05" customHeight="1" x14ac:dyDescent="0.3">
      <c r="A840" s="2">
        <v>2700</v>
      </c>
      <c r="B840" s="2">
        <v>39</v>
      </c>
      <c r="C840" s="2">
        <v>2024</v>
      </c>
      <c r="D840" s="3" t="s">
        <v>27</v>
      </c>
      <c r="E840" s="4">
        <v>2809</v>
      </c>
      <c r="F840" s="5">
        <v>65640575.130000003</v>
      </c>
      <c r="G840" s="5">
        <v>4345406.07</v>
      </c>
      <c r="H840" s="6">
        <v>6.62</v>
      </c>
      <c r="I840" s="6">
        <v>11.07</v>
      </c>
      <c r="J840" s="5">
        <v>1877.15</v>
      </c>
      <c r="K840" s="5">
        <v>3384.05</v>
      </c>
      <c r="L840" s="5">
        <v>65606410.259999998</v>
      </c>
      <c r="M840" s="5">
        <v>65619230.890000001</v>
      </c>
      <c r="N840" s="5">
        <v>34164.870000000003</v>
      </c>
      <c r="O840" s="5">
        <v>65620734.299999997</v>
      </c>
      <c r="P840" s="5">
        <v>65612430.630000003</v>
      </c>
      <c r="Q840" s="5">
        <v>8303.67</v>
      </c>
      <c r="R840" s="5">
        <v>7266411.6699999999</v>
      </c>
      <c r="S840" s="5">
        <v>-2921005.59</v>
      </c>
      <c r="T840" s="5">
        <v>117726.24</v>
      </c>
      <c r="U840" s="5">
        <v>46224.29</v>
      </c>
      <c r="V840" s="5">
        <v>6625.49</v>
      </c>
      <c r="W840" s="5">
        <v>7698.55</v>
      </c>
      <c r="X840" s="5">
        <v>4724.13</v>
      </c>
      <c r="Y840" s="4">
        <v>3983340</v>
      </c>
    </row>
    <row r="841" spans="1:25" ht="16.05" customHeight="1" x14ac:dyDescent="0.3">
      <c r="A841" s="7">
        <v>2770</v>
      </c>
      <c r="B841" s="7">
        <v>40</v>
      </c>
      <c r="C841" s="7">
        <v>2024</v>
      </c>
      <c r="D841" s="8" t="s">
        <v>27</v>
      </c>
      <c r="E841" s="9">
        <v>5185</v>
      </c>
      <c r="F841" s="10">
        <v>32741307.23</v>
      </c>
      <c r="G841" s="10">
        <v>8820508.1699999999</v>
      </c>
      <c r="H841" s="11">
        <v>26.94</v>
      </c>
      <c r="I841" s="11">
        <v>8.99</v>
      </c>
      <c r="J841" s="10">
        <v>1623.98</v>
      </c>
      <c r="K841" s="10">
        <v>10485.57</v>
      </c>
      <c r="L841" s="10">
        <v>32723580.09</v>
      </c>
      <c r="M841" s="10">
        <v>32725813.800000001</v>
      </c>
      <c r="N841" s="10">
        <v>17727.14</v>
      </c>
      <c r="O841" s="10">
        <v>32737927.870000001</v>
      </c>
      <c r="P841" s="10">
        <v>32735625.210000001</v>
      </c>
      <c r="Q841" s="10">
        <v>2302.66</v>
      </c>
      <c r="R841" s="10">
        <v>2943443.52</v>
      </c>
      <c r="S841" s="10">
        <v>5877064.6500000004</v>
      </c>
      <c r="T841" s="10">
        <v>22237.32</v>
      </c>
      <c r="U841" s="10">
        <v>45058.66</v>
      </c>
      <c r="V841" s="10">
        <v>11836.11</v>
      </c>
      <c r="W841" s="10">
        <v>2511.67</v>
      </c>
      <c r="X841" s="10">
        <v>3287.25</v>
      </c>
      <c r="Y841" s="9">
        <v>3300126</v>
      </c>
    </row>
    <row r="842" spans="1:25" ht="16.05" customHeight="1" x14ac:dyDescent="0.3">
      <c r="A842" s="2">
        <v>2840</v>
      </c>
      <c r="B842" s="2">
        <v>41</v>
      </c>
      <c r="C842" s="2">
        <v>2024</v>
      </c>
      <c r="D842" s="3" t="s">
        <v>27</v>
      </c>
      <c r="E842" s="4">
        <v>1768</v>
      </c>
      <c r="F842" s="5">
        <v>100054741.09999999</v>
      </c>
      <c r="G842" s="5">
        <v>18199957.41</v>
      </c>
      <c r="H842" s="6">
        <v>18.190000000000001</v>
      </c>
      <c r="I842" s="6">
        <v>13.2</v>
      </c>
      <c r="J842" s="5">
        <v>1355.26</v>
      </c>
      <c r="K842" s="5">
        <v>16835.78</v>
      </c>
      <c r="L842" s="5">
        <v>100038936.3</v>
      </c>
      <c r="M842" s="5">
        <v>100030250.09999999</v>
      </c>
      <c r="N842" s="5">
        <v>15804.87</v>
      </c>
      <c r="O842" s="5">
        <v>100049853.40000001</v>
      </c>
      <c r="P842" s="5">
        <v>100042005.90000001</v>
      </c>
      <c r="Q842" s="5">
        <v>7847.56</v>
      </c>
      <c r="R842" s="5">
        <v>13207225.83</v>
      </c>
      <c r="S842" s="5">
        <v>4992731.58</v>
      </c>
      <c r="T842" s="5">
        <v>16263.11</v>
      </c>
      <c r="U842" s="5">
        <v>11206.88</v>
      </c>
      <c r="V842" s="5">
        <v>3831.97</v>
      </c>
      <c r="W842" s="5">
        <v>7085.21</v>
      </c>
      <c r="X842" s="5">
        <v>4442.83</v>
      </c>
      <c r="Y842" s="4">
        <v>1113631</v>
      </c>
    </row>
    <row r="843" spans="1:25" ht="16.05" customHeight="1" x14ac:dyDescent="0.3">
      <c r="A843" s="7">
        <v>2910</v>
      </c>
      <c r="B843" s="7">
        <v>42</v>
      </c>
      <c r="C843" s="7">
        <v>2024</v>
      </c>
      <c r="D843" s="8" t="s">
        <v>27</v>
      </c>
      <c r="E843" s="9">
        <v>4547</v>
      </c>
      <c r="F843" s="10">
        <v>233389387.30000001</v>
      </c>
      <c r="G843" s="10">
        <v>40212991.43</v>
      </c>
      <c r="H843" s="11">
        <v>17.23</v>
      </c>
      <c r="I843" s="11">
        <v>17.72</v>
      </c>
      <c r="J843" s="10">
        <v>7464.03</v>
      </c>
      <c r="K843" s="10">
        <v>13982.28</v>
      </c>
      <c r="L843" s="10">
        <v>233316470</v>
      </c>
      <c r="M843" s="10">
        <v>233383183.5</v>
      </c>
      <c r="N843" s="10">
        <v>72917.22</v>
      </c>
      <c r="O843" s="10">
        <v>233324343.40000001</v>
      </c>
      <c r="P843" s="10">
        <v>233313681</v>
      </c>
      <c r="Q843" s="10">
        <v>10662.37</v>
      </c>
      <c r="R843" s="10">
        <v>41356599.420000002</v>
      </c>
      <c r="S843" s="10">
        <v>-1143608</v>
      </c>
      <c r="T843" s="10">
        <v>99588.92</v>
      </c>
      <c r="U843" s="10">
        <v>7378.94</v>
      </c>
      <c r="V843" s="10">
        <v>2860.72</v>
      </c>
      <c r="W843" s="10">
        <v>5012.6000000000004</v>
      </c>
      <c r="X843" s="10">
        <v>1740.65</v>
      </c>
      <c r="Y843" s="9">
        <v>3449920</v>
      </c>
    </row>
    <row r="844" spans="1:25" ht="16.05" customHeight="1" x14ac:dyDescent="0.3">
      <c r="A844" s="2">
        <v>2980</v>
      </c>
      <c r="B844" s="2">
        <v>43</v>
      </c>
      <c r="C844" s="2">
        <v>2024</v>
      </c>
      <c r="D844" s="3" t="s">
        <v>27</v>
      </c>
      <c r="E844" s="4">
        <v>3771</v>
      </c>
      <c r="F844" s="5">
        <v>217157774.19999999</v>
      </c>
      <c r="G844" s="5">
        <v>36764811.170000002</v>
      </c>
      <c r="H844" s="6">
        <v>16.93</v>
      </c>
      <c r="I844" s="6">
        <v>9.69</v>
      </c>
      <c r="J844" s="5">
        <v>7616.79</v>
      </c>
      <c r="K844" s="5">
        <v>14793.19</v>
      </c>
      <c r="L844" s="5">
        <v>217143426.40000001</v>
      </c>
      <c r="M844" s="5">
        <v>217147567.90000001</v>
      </c>
      <c r="N844" s="5">
        <v>14347.77</v>
      </c>
      <c r="O844" s="5">
        <v>217149018.30000001</v>
      </c>
      <c r="P844" s="5">
        <v>217137933.09999999</v>
      </c>
      <c r="Q844" s="5">
        <v>11085.2</v>
      </c>
      <c r="R844" s="5">
        <v>21042588.32</v>
      </c>
      <c r="S844" s="5">
        <v>15722222.85</v>
      </c>
      <c r="T844" s="5">
        <v>43102.400000000001</v>
      </c>
      <c r="U844" s="5">
        <v>35661.39</v>
      </c>
      <c r="V844" s="5">
        <v>2028.64</v>
      </c>
      <c r="W844" s="5">
        <v>3563.24</v>
      </c>
      <c r="X844" s="5">
        <v>1537.8</v>
      </c>
      <c r="Y844" s="4">
        <v>2340899</v>
      </c>
    </row>
    <row r="845" spans="1:25" ht="16.05" customHeight="1" x14ac:dyDescent="0.3">
      <c r="A845" s="7">
        <v>3050</v>
      </c>
      <c r="B845" s="7">
        <v>44</v>
      </c>
      <c r="C845" s="7">
        <v>2024</v>
      </c>
      <c r="D845" s="8" t="s">
        <v>27</v>
      </c>
      <c r="E845" s="9">
        <v>4490</v>
      </c>
      <c r="F845" s="10">
        <v>236735691.80000001</v>
      </c>
      <c r="G845" s="10">
        <v>54449209.109999999</v>
      </c>
      <c r="H845" s="11">
        <v>23</v>
      </c>
      <c r="I845" s="11">
        <v>9.61</v>
      </c>
      <c r="J845" s="10">
        <v>3267.78</v>
      </c>
      <c r="K845" s="10">
        <v>17790.75</v>
      </c>
      <c r="L845" s="10">
        <v>236716931.5</v>
      </c>
      <c r="M845" s="10">
        <v>236722493.90000001</v>
      </c>
      <c r="N845" s="10">
        <v>18760.25</v>
      </c>
      <c r="O845" s="10">
        <v>236727645.5</v>
      </c>
      <c r="P845" s="10">
        <v>236722377.59999999</v>
      </c>
      <c r="Q845" s="10">
        <v>5267.89</v>
      </c>
      <c r="R845" s="10">
        <v>22750299.98</v>
      </c>
      <c r="S845" s="10">
        <v>31698909.129999999</v>
      </c>
      <c r="T845" s="10">
        <v>24876.27</v>
      </c>
      <c r="U845" s="10">
        <v>24556.03</v>
      </c>
      <c r="V845" s="10">
        <v>9203.43</v>
      </c>
      <c r="W845" s="10">
        <v>1510.5</v>
      </c>
      <c r="X845" s="10">
        <v>2491.7800000000002</v>
      </c>
      <c r="Y845" s="9">
        <v>2720012</v>
      </c>
    </row>
    <row r="846" spans="1:25" ht="16.05" customHeight="1" x14ac:dyDescent="0.3">
      <c r="A846" s="2">
        <v>3120</v>
      </c>
      <c r="B846" s="2">
        <v>45</v>
      </c>
      <c r="C846" s="2">
        <v>2024</v>
      </c>
      <c r="D846" s="3" t="s">
        <v>27</v>
      </c>
      <c r="E846" s="4">
        <v>1442</v>
      </c>
      <c r="F846" s="5">
        <v>34914294.409999996</v>
      </c>
      <c r="G846" s="5">
        <v>10383511.16</v>
      </c>
      <c r="H846" s="6">
        <v>29.74</v>
      </c>
      <c r="I846" s="6">
        <v>15.31</v>
      </c>
      <c r="J846" s="5">
        <v>10565.48</v>
      </c>
      <c r="K846" s="5">
        <v>8179.27</v>
      </c>
      <c r="L846" s="5">
        <v>34871378.219999999</v>
      </c>
      <c r="M846" s="5">
        <v>34894645.030000001</v>
      </c>
      <c r="N846" s="5">
        <v>42916.19</v>
      </c>
      <c r="O846" s="5">
        <v>34881389.810000002</v>
      </c>
      <c r="P846" s="5">
        <v>34877754.960000001</v>
      </c>
      <c r="Q846" s="5">
        <v>3634.85</v>
      </c>
      <c r="R846" s="5">
        <v>5345378.47</v>
      </c>
      <c r="S846" s="5">
        <v>5038132.68</v>
      </c>
      <c r="T846" s="5">
        <v>77191.69</v>
      </c>
      <c r="U846" s="5">
        <v>58764.84</v>
      </c>
      <c r="V846" s="5">
        <v>8637.7199999999993</v>
      </c>
      <c r="W846" s="5">
        <v>1373.87</v>
      </c>
      <c r="X846" s="5">
        <v>4636.3500000000004</v>
      </c>
      <c r="Y846" s="4">
        <v>3181847</v>
      </c>
    </row>
    <row r="847" spans="1:25" ht="16.05" customHeight="1" x14ac:dyDescent="0.3">
      <c r="A847" s="7">
        <v>3190</v>
      </c>
      <c r="B847" s="7">
        <v>46</v>
      </c>
      <c r="C847" s="7">
        <v>2024</v>
      </c>
      <c r="D847" s="8" t="s">
        <v>27</v>
      </c>
      <c r="E847" s="9">
        <v>6268</v>
      </c>
      <c r="F847" s="10">
        <v>262056540.69999999</v>
      </c>
      <c r="G847" s="10">
        <v>75288844.150000006</v>
      </c>
      <c r="H847" s="11">
        <v>28.73</v>
      </c>
      <c r="I847" s="11">
        <v>18.75</v>
      </c>
      <c r="J847" s="10">
        <v>11574.85</v>
      </c>
      <c r="K847" s="10">
        <v>5272.36</v>
      </c>
      <c r="L847" s="10">
        <v>262002062.69999999</v>
      </c>
      <c r="M847" s="10">
        <v>262038245.5</v>
      </c>
      <c r="N847" s="10">
        <v>54478.05</v>
      </c>
      <c r="O847" s="10">
        <v>262012514.90000001</v>
      </c>
      <c r="P847" s="10">
        <v>261997625.09999999</v>
      </c>
      <c r="Q847" s="10">
        <v>14889.82</v>
      </c>
      <c r="R847" s="10">
        <v>49135601.380000003</v>
      </c>
      <c r="S847" s="10">
        <v>26153242.760000002</v>
      </c>
      <c r="T847" s="10">
        <v>99120.51</v>
      </c>
      <c r="U847" s="10">
        <v>54458</v>
      </c>
      <c r="V847" s="10">
        <v>3560.32</v>
      </c>
      <c r="W847" s="10">
        <v>6891.96</v>
      </c>
      <c r="X847" s="10">
        <v>4610.92</v>
      </c>
      <c r="Y847" s="9">
        <v>4016669</v>
      </c>
    </row>
    <row r="848" spans="1:25" ht="16.05" customHeight="1" x14ac:dyDescent="0.3">
      <c r="A848" s="2">
        <v>3260</v>
      </c>
      <c r="B848" s="2">
        <v>47</v>
      </c>
      <c r="C848" s="2">
        <v>2024</v>
      </c>
      <c r="D848" s="3" t="s">
        <v>27</v>
      </c>
      <c r="E848" s="4">
        <v>6295</v>
      </c>
      <c r="F848" s="5">
        <v>262504263.40000001</v>
      </c>
      <c r="G848" s="5">
        <v>78226270.489999995</v>
      </c>
      <c r="H848" s="6">
        <v>29.8</v>
      </c>
      <c r="I848" s="6">
        <v>13.28</v>
      </c>
      <c r="J848" s="5">
        <v>14696.84</v>
      </c>
      <c r="K848" s="5">
        <v>12899.52</v>
      </c>
      <c r="L848" s="5">
        <v>262468080.69999999</v>
      </c>
      <c r="M848" s="5">
        <v>262483526.40000001</v>
      </c>
      <c r="N848" s="5">
        <v>36182.629999999997</v>
      </c>
      <c r="O848" s="5">
        <v>262476142.5</v>
      </c>
      <c r="P848" s="5">
        <v>262473832.5</v>
      </c>
      <c r="Q848" s="5">
        <v>2309.98</v>
      </c>
      <c r="R848" s="5">
        <v>34860566.18</v>
      </c>
      <c r="S848" s="5">
        <v>43365704.310000002</v>
      </c>
      <c r="T848" s="5">
        <v>70962.850000000006</v>
      </c>
      <c r="U848" s="5">
        <v>44438.13</v>
      </c>
      <c r="V848" s="5">
        <v>1216.8699999999999</v>
      </c>
      <c r="W848" s="5">
        <v>6844.91</v>
      </c>
      <c r="X848" s="5">
        <v>1112.3900000000001</v>
      </c>
      <c r="Y848" s="4">
        <v>1195122</v>
      </c>
    </row>
    <row r="849" spans="1:25" ht="16.05" customHeight="1" x14ac:dyDescent="0.3">
      <c r="A849" s="7">
        <v>3330</v>
      </c>
      <c r="B849" s="7">
        <v>48</v>
      </c>
      <c r="C849" s="7">
        <v>2024</v>
      </c>
      <c r="D849" s="8" t="s">
        <v>27</v>
      </c>
      <c r="E849" s="9">
        <v>2535</v>
      </c>
      <c r="F849" s="10">
        <v>122196850.09999999</v>
      </c>
      <c r="G849" s="10">
        <v>34752784.170000002</v>
      </c>
      <c r="H849" s="11">
        <v>28.44</v>
      </c>
      <c r="I849" s="11">
        <v>18.920000000000002</v>
      </c>
      <c r="J849" s="10">
        <v>10592.33</v>
      </c>
      <c r="K849" s="10">
        <v>6696.57</v>
      </c>
      <c r="L849" s="10">
        <v>122111838.59999999</v>
      </c>
      <c r="M849" s="10">
        <v>122177775.3</v>
      </c>
      <c r="N849" s="10">
        <v>85011.56</v>
      </c>
      <c r="O849" s="10">
        <v>122121541.2</v>
      </c>
      <c r="P849" s="10">
        <v>122115236.8</v>
      </c>
      <c r="Q849" s="10">
        <v>6304.43</v>
      </c>
      <c r="R849" s="10">
        <v>23119644.039999999</v>
      </c>
      <c r="S849" s="10">
        <v>11633140.130000001</v>
      </c>
      <c r="T849" s="10">
        <v>46361.59</v>
      </c>
      <c r="U849" s="10">
        <v>45962.239999999998</v>
      </c>
      <c r="V849" s="10">
        <v>8043.94</v>
      </c>
      <c r="W849" s="10">
        <v>1658.68</v>
      </c>
      <c r="X849" s="10">
        <v>1618.37</v>
      </c>
      <c r="Y849" s="9">
        <v>2661423</v>
      </c>
    </row>
    <row r="850" spans="1:25" ht="16.05" customHeight="1" x14ac:dyDescent="0.3">
      <c r="A850" s="2">
        <v>3400</v>
      </c>
      <c r="B850" s="2">
        <v>49</v>
      </c>
      <c r="C850" s="2">
        <v>2024</v>
      </c>
      <c r="D850" s="3" t="s">
        <v>27</v>
      </c>
      <c r="E850" s="4">
        <v>3222</v>
      </c>
      <c r="F850" s="5">
        <v>135517453.09999999</v>
      </c>
      <c r="G850" s="5">
        <v>13483986.58</v>
      </c>
      <c r="H850" s="6">
        <v>9.9499999999999993</v>
      </c>
      <c r="I850" s="6">
        <v>19.77</v>
      </c>
      <c r="J850" s="5">
        <v>2091.5500000000002</v>
      </c>
      <c r="K850" s="5">
        <v>11099.33</v>
      </c>
      <c r="L850" s="5">
        <v>135421697.59999999</v>
      </c>
      <c r="M850" s="5">
        <v>135501253.5</v>
      </c>
      <c r="N850" s="5">
        <v>95755.47</v>
      </c>
      <c r="O850" s="5">
        <v>135434127.69999999</v>
      </c>
      <c r="P850" s="5">
        <v>135425404.09999999</v>
      </c>
      <c r="Q850" s="5">
        <v>8723.52</v>
      </c>
      <c r="R850" s="5">
        <v>26791800.48</v>
      </c>
      <c r="S850" s="5">
        <v>-13307813.9</v>
      </c>
      <c r="T850" s="5">
        <v>30065.64</v>
      </c>
      <c r="U850" s="5">
        <v>37480.82</v>
      </c>
      <c r="V850" s="5">
        <v>6951.94</v>
      </c>
      <c r="W850" s="5">
        <v>5478.08</v>
      </c>
      <c r="X850" s="5">
        <v>2980.15</v>
      </c>
      <c r="Y850" s="4">
        <v>4808982</v>
      </c>
    </row>
    <row r="851" spans="1:25" ht="16.05" customHeight="1" x14ac:dyDescent="0.3">
      <c r="A851" s="7">
        <v>3470</v>
      </c>
      <c r="B851" s="7">
        <v>50</v>
      </c>
      <c r="C851" s="7">
        <v>2024</v>
      </c>
      <c r="D851" s="8" t="s">
        <v>27</v>
      </c>
      <c r="E851" s="9">
        <v>2183</v>
      </c>
      <c r="F851" s="10">
        <v>115367093.7</v>
      </c>
      <c r="G851" s="10">
        <v>28414915.190000001</v>
      </c>
      <c r="H851" s="11">
        <v>24.63</v>
      </c>
      <c r="I851" s="11">
        <v>17.350000000000001</v>
      </c>
      <c r="J851" s="10">
        <v>4612.41</v>
      </c>
      <c r="K851" s="10">
        <v>9104.43</v>
      </c>
      <c r="L851" s="10">
        <v>115356370.59999999</v>
      </c>
      <c r="M851" s="10">
        <v>115346956.09999999</v>
      </c>
      <c r="N851" s="10">
        <v>10723.18</v>
      </c>
      <c r="O851" s="10">
        <v>115372384.8</v>
      </c>
      <c r="P851" s="10">
        <v>115363854.2</v>
      </c>
      <c r="Q851" s="10">
        <v>8530.5400000000009</v>
      </c>
      <c r="R851" s="10">
        <v>20016190.760000002</v>
      </c>
      <c r="S851" s="10">
        <v>8398724.4199999999</v>
      </c>
      <c r="T851" s="10">
        <v>73006.59</v>
      </c>
      <c r="U851" s="10">
        <v>30486.42</v>
      </c>
      <c r="V851" s="10">
        <v>11598.55</v>
      </c>
      <c r="W851" s="10">
        <v>4415.66</v>
      </c>
      <c r="X851" s="10">
        <v>1874.03</v>
      </c>
      <c r="Y851" s="9">
        <v>4002927</v>
      </c>
    </row>
    <row r="852" spans="1:25" ht="16.05" customHeight="1" x14ac:dyDescent="0.3">
      <c r="A852" s="2">
        <v>10</v>
      </c>
      <c r="B852" s="2">
        <v>1</v>
      </c>
      <c r="C852" s="2">
        <v>2024</v>
      </c>
      <c r="D852" s="3" t="s">
        <v>28</v>
      </c>
      <c r="E852" s="4">
        <v>5088</v>
      </c>
      <c r="F852" s="5">
        <v>150956034.09999999</v>
      </c>
      <c r="G852" s="5">
        <v>25058701.66</v>
      </c>
      <c r="H852" s="6">
        <v>16.600000000000001</v>
      </c>
      <c r="I852" s="6">
        <v>5.25</v>
      </c>
      <c r="J852" s="5">
        <v>12273.12</v>
      </c>
      <c r="K852" s="5">
        <v>5019.03</v>
      </c>
      <c r="L852" s="5">
        <v>150857161.30000001</v>
      </c>
      <c r="M852" s="5">
        <v>150951553.80000001</v>
      </c>
      <c r="N852" s="5">
        <v>98872.73</v>
      </c>
      <c r="O852" s="5">
        <v>150862823.69999999</v>
      </c>
      <c r="P852" s="5">
        <v>150860742.5</v>
      </c>
      <c r="Q852" s="5">
        <v>2081.21</v>
      </c>
      <c r="R852" s="5">
        <v>7925191.79</v>
      </c>
      <c r="S852" s="5">
        <v>17133509.870000001</v>
      </c>
      <c r="T852" s="5">
        <v>75264.63</v>
      </c>
      <c r="U852" s="5">
        <v>31800.080000000002</v>
      </c>
      <c r="V852" s="5">
        <v>3228.73</v>
      </c>
      <c r="W852" s="5">
        <v>2433.67</v>
      </c>
      <c r="X852" s="5">
        <v>2806.1</v>
      </c>
      <c r="Y852" s="4">
        <v>4018118</v>
      </c>
    </row>
    <row r="853" spans="1:25" ht="16.05" customHeight="1" x14ac:dyDescent="0.3">
      <c r="A853" s="7">
        <v>80</v>
      </c>
      <c r="B853" s="7">
        <v>2</v>
      </c>
      <c r="C853" s="7">
        <v>2024</v>
      </c>
      <c r="D853" s="8" t="s">
        <v>28</v>
      </c>
      <c r="E853" s="9">
        <v>811</v>
      </c>
      <c r="F853" s="10">
        <v>11085408.57</v>
      </c>
      <c r="G853" s="10">
        <v>1462165.39</v>
      </c>
      <c r="H853" s="11">
        <v>13.19</v>
      </c>
      <c r="I853" s="11">
        <v>13.6</v>
      </c>
      <c r="J853" s="10">
        <v>2773.46</v>
      </c>
      <c r="K853" s="10">
        <v>19543.98</v>
      </c>
      <c r="L853" s="10">
        <v>10986054.939999999</v>
      </c>
      <c r="M853" s="10">
        <v>11065533.029999999</v>
      </c>
      <c r="N853" s="10">
        <v>99353.63</v>
      </c>
      <c r="O853" s="10">
        <v>11001827.33</v>
      </c>
      <c r="P853" s="10">
        <v>10996762.49</v>
      </c>
      <c r="Q853" s="10">
        <v>5064.84</v>
      </c>
      <c r="R853" s="10">
        <v>1507615.56</v>
      </c>
      <c r="S853" s="10">
        <v>-45450.18</v>
      </c>
      <c r="T853" s="10">
        <v>103410.81</v>
      </c>
      <c r="U853" s="10">
        <v>22788.14</v>
      </c>
      <c r="V853" s="10">
        <v>10662.16</v>
      </c>
      <c r="W853" s="10">
        <v>5110.2299999999996</v>
      </c>
      <c r="X853" s="10">
        <v>4022.26</v>
      </c>
      <c r="Y853" s="9">
        <v>3534955</v>
      </c>
    </row>
    <row r="854" spans="1:25" ht="16.05" customHeight="1" x14ac:dyDescent="0.3">
      <c r="A854" s="2">
        <v>150</v>
      </c>
      <c r="B854" s="2">
        <v>3</v>
      </c>
      <c r="C854" s="2">
        <v>2024</v>
      </c>
      <c r="D854" s="3" t="s">
        <v>28</v>
      </c>
      <c r="E854" s="4">
        <v>4038</v>
      </c>
      <c r="F854" s="5">
        <v>267267042.19999999</v>
      </c>
      <c r="G854" s="5">
        <v>43778341.520000003</v>
      </c>
      <c r="H854" s="6">
        <v>16.38</v>
      </c>
      <c r="I854" s="6">
        <v>19.329999999999998</v>
      </c>
      <c r="J854" s="5">
        <v>7677.86</v>
      </c>
      <c r="K854" s="5">
        <v>11606.95</v>
      </c>
      <c r="L854" s="5">
        <v>267256665.90000001</v>
      </c>
      <c r="M854" s="5">
        <v>267245731</v>
      </c>
      <c r="N854" s="5">
        <v>10376.32</v>
      </c>
      <c r="O854" s="5">
        <v>267264083.19999999</v>
      </c>
      <c r="P854" s="5">
        <v>267256962.19999999</v>
      </c>
      <c r="Q854" s="5">
        <v>7121.05</v>
      </c>
      <c r="R854" s="5">
        <v>51662719.270000003</v>
      </c>
      <c r="S854" s="5">
        <v>-7884377.75</v>
      </c>
      <c r="T854" s="5">
        <v>62758.06</v>
      </c>
      <c r="U854" s="5">
        <v>42644.22</v>
      </c>
      <c r="V854" s="5">
        <v>2495.2199999999998</v>
      </c>
      <c r="W854" s="5">
        <v>4922.1000000000004</v>
      </c>
      <c r="X854" s="5">
        <v>4530.1499999999996</v>
      </c>
      <c r="Y854" s="4">
        <v>1027199</v>
      </c>
    </row>
    <row r="855" spans="1:25" ht="16.05" customHeight="1" x14ac:dyDescent="0.3">
      <c r="A855" s="7">
        <v>220</v>
      </c>
      <c r="B855" s="7">
        <v>4</v>
      </c>
      <c r="C855" s="7">
        <v>2024</v>
      </c>
      <c r="D855" s="8" t="s">
        <v>28</v>
      </c>
      <c r="E855" s="9">
        <v>1861</v>
      </c>
      <c r="F855" s="10">
        <v>29219043.949999999</v>
      </c>
      <c r="G855" s="10">
        <v>8128738.0300000003</v>
      </c>
      <c r="H855" s="11">
        <v>27.82</v>
      </c>
      <c r="I855" s="11">
        <v>10.45</v>
      </c>
      <c r="J855" s="10">
        <v>5755.58</v>
      </c>
      <c r="K855" s="10">
        <v>18600.439999999999</v>
      </c>
      <c r="L855" s="10">
        <v>29192092.879999999</v>
      </c>
      <c r="M855" s="10">
        <v>29198371.82</v>
      </c>
      <c r="N855" s="10">
        <v>26951.07</v>
      </c>
      <c r="O855" s="10">
        <v>29200419.829999998</v>
      </c>
      <c r="P855" s="10">
        <v>29187850.870000001</v>
      </c>
      <c r="Q855" s="10">
        <v>12568.96</v>
      </c>
      <c r="R855" s="10">
        <v>3053390.09</v>
      </c>
      <c r="S855" s="10">
        <v>5075347.93</v>
      </c>
      <c r="T855" s="10">
        <v>27441.759999999998</v>
      </c>
      <c r="U855" s="10">
        <v>43468.84</v>
      </c>
      <c r="V855" s="10">
        <v>5274.92</v>
      </c>
      <c r="W855" s="10">
        <v>3052.03</v>
      </c>
      <c r="X855" s="10">
        <v>4040.1</v>
      </c>
      <c r="Y855" s="9">
        <v>1798789</v>
      </c>
    </row>
    <row r="856" spans="1:25" ht="16.05" customHeight="1" x14ac:dyDescent="0.3">
      <c r="A856" s="2">
        <v>290</v>
      </c>
      <c r="B856" s="2">
        <v>5</v>
      </c>
      <c r="C856" s="2">
        <v>2024</v>
      </c>
      <c r="D856" s="3" t="s">
        <v>28</v>
      </c>
      <c r="E856" s="4">
        <v>1718</v>
      </c>
      <c r="F856" s="5">
        <v>88861852.310000002</v>
      </c>
      <c r="G856" s="5">
        <v>20038347.699999999</v>
      </c>
      <c r="H856" s="6">
        <v>22.55</v>
      </c>
      <c r="I856" s="6">
        <v>17.649999999999999</v>
      </c>
      <c r="J856" s="5">
        <v>6402.36</v>
      </c>
      <c r="K856" s="5">
        <v>3992.4</v>
      </c>
      <c r="L856" s="5">
        <v>88767268.230000004</v>
      </c>
      <c r="M856" s="5">
        <v>88837267.840000004</v>
      </c>
      <c r="N856" s="5">
        <v>94584.08</v>
      </c>
      <c r="O856" s="5">
        <v>88783322.319999993</v>
      </c>
      <c r="P856" s="5">
        <v>88769217.510000005</v>
      </c>
      <c r="Q856" s="5">
        <v>14104.81</v>
      </c>
      <c r="R856" s="5">
        <v>15684116.93</v>
      </c>
      <c r="S856" s="5">
        <v>4354230.76</v>
      </c>
      <c r="T856" s="5">
        <v>16106.49</v>
      </c>
      <c r="U856" s="5">
        <v>48218.04</v>
      </c>
      <c r="V856" s="5">
        <v>11529.89</v>
      </c>
      <c r="W856" s="5">
        <v>4524.2</v>
      </c>
      <c r="X856" s="5">
        <v>2861.65</v>
      </c>
      <c r="Y856" s="4">
        <v>3412428</v>
      </c>
    </row>
    <row r="857" spans="1:25" ht="16.05" customHeight="1" x14ac:dyDescent="0.3">
      <c r="A857" s="7">
        <v>360</v>
      </c>
      <c r="B857" s="7">
        <v>6</v>
      </c>
      <c r="C857" s="7">
        <v>2024</v>
      </c>
      <c r="D857" s="8" t="s">
        <v>28</v>
      </c>
      <c r="E857" s="9">
        <v>6692</v>
      </c>
      <c r="F857" s="10">
        <v>371425682.69999999</v>
      </c>
      <c r="G857" s="10">
        <v>44199656.240000002</v>
      </c>
      <c r="H857" s="11">
        <v>11.9</v>
      </c>
      <c r="I857" s="11">
        <v>6.08</v>
      </c>
      <c r="J857" s="10">
        <v>10347.280000000001</v>
      </c>
      <c r="K857" s="10">
        <v>2539.3200000000002</v>
      </c>
      <c r="L857" s="10">
        <v>371393988.60000002</v>
      </c>
      <c r="M857" s="10">
        <v>371401414.60000002</v>
      </c>
      <c r="N857" s="10">
        <v>31694.080000000002</v>
      </c>
      <c r="O857" s="10">
        <v>371402071.5</v>
      </c>
      <c r="P857" s="10">
        <v>371397116.80000001</v>
      </c>
      <c r="Q857" s="10">
        <v>4954.75</v>
      </c>
      <c r="R857" s="10">
        <v>22582681.510000002</v>
      </c>
      <c r="S857" s="10">
        <v>21616974.73</v>
      </c>
      <c r="T857" s="10">
        <v>65446.41</v>
      </c>
      <c r="U857" s="10">
        <v>20482.759999999998</v>
      </c>
      <c r="V857" s="10">
        <v>1995.71</v>
      </c>
      <c r="W857" s="10">
        <v>6087.22</v>
      </c>
      <c r="X857" s="10">
        <v>4834.67</v>
      </c>
      <c r="Y857" s="9">
        <v>4949215</v>
      </c>
    </row>
    <row r="858" spans="1:25" ht="16.05" customHeight="1" x14ac:dyDescent="0.3">
      <c r="A858" s="2">
        <v>430</v>
      </c>
      <c r="B858" s="2">
        <v>7</v>
      </c>
      <c r="C858" s="2">
        <v>2024</v>
      </c>
      <c r="D858" s="3" t="s">
        <v>28</v>
      </c>
      <c r="E858" s="4">
        <v>5118</v>
      </c>
      <c r="F858" s="5">
        <v>130108932.5</v>
      </c>
      <c r="G858" s="5">
        <v>7012871.46</v>
      </c>
      <c r="H858" s="6">
        <v>5.39</v>
      </c>
      <c r="I858" s="6">
        <v>10.98</v>
      </c>
      <c r="J858" s="5">
        <v>5031.3100000000004</v>
      </c>
      <c r="K858" s="5">
        <v>10941.72</v>
      </c>
      <c r="L858" s="5">
        <v>130097816.59999999</v>
      </c>
      <c r="M858" s="5">
        <v>130102693.5</v>
      </c>
      <c r="N858" s="5">
        <v>11115.85</v>
      </c>
      <c r="O858" s="5">
        <v>130111064</v>
      </c>
      <c r="P858" s="5">
        <v>130104054.8</v>
      </c>
      <c r="Q858" s="5">
        <v>7009.2</v>
      </c>
      <c r="R858" s="5">
        <v>14285960.789999999</v>
      </c>
      <c r="S858" s="5">
        <v>-7273089.3300000001</v>
      </c>
      <c r="T858" s="5">
        <v>33513.83</v>
      </c>
      <c r="U858" s="5">
        <v>6401.36</v>
      </c>
      <c r="V858" s="5">
        <v>6509.44</v>
      </c>
      <c r="W858" s="5">
        <v>6737.9</v>
      </c>
      <c r="X858" s="5">
        <v>3605.59</v>
      </c>
      <c r="Y858" s="4">
        <v>3579907</v>
      </c>
    </row>
    <row r="859" spans="1:25" ht="16.05" customHeight="1" x14ac:dyDescent="0.3">
      <c r="A859" s="7">
        <v>500</v>
      </c>
      <c r="B859" s="7">
        <v>8</v>
      </c>
      <c r="C859" s="7">
        <v>2024</v>
      </c>
      <c r="D859" s="8" t="s">
        <v>28</v>
      </c>
      <c r="E859" s="9">
        <v>523</v>
      </c>
      <c r="F859" s="10">
        <v>28603242.32</v>
      </c>
      <c r="G859" s="10">
        <v>4370575.43</v>
      </c>
      <c r="H859" s="11">
        <v>15.28</v>
      </c>
      <c r="I859" s="11">
        <v>5.53</v>
      </c>
      <c r="J859" s="10">
        <v>6015.73</v>
      </c>
      <c r="K859" s="10">
        <v>2850.96</v>
      </c>
      <c r="L859" s="10">
        <v>28559850.219999999</v>
      </c>
      <c r="M859" s="10">
        <v>28598099.84</v>
      </c>
      <c r="N859" s="10">
        <v>43392.1</v>
      </c>
      <c r="O859" s="10">
        <v>28569360.719999999</v>
      </c>
      <c r="P859" s="10">
        <v>28562352.43</v>
      </c>
      <c r="Q859" s="10">
        <v>7008.29</v>
      </c>
      <c r="R859" s="10">
        <v>1581759.3</v>
      </c>
      <c r="S859" s="10">
        <v>2788816.13</v>
      </c>
      <c r="T859" s="10">
        <v>25465.82</v>
      </c>
      <c r="U859" s="10">
        <v>54234.67</v>
      </c>
      <c r="V859" s="10">
        <v>6699.46</v>
      </c>
      <c r="W859" s="10">
        <v>2811.04</v>
      </c>
      <c r="X859" s="10">
        <v>3625.38</v>
      </c>
      <c r="Y859" s="9">
        <v>1170680</v>
      </c>
    </row>
    <row r="860" spans="1:25" ht="16.05" customHeight="1" x14ac:dyDescent="0.3">
      <c r="A860" s="2">
        <v>570</v>
      </c>
      <c r="B860" s="2">
        <v>9</v>
      </c>
      <c r="C860" s="2">
        <v>2024</v>
      </c>
      <c r="D860" s="3" t="s">
        <v>28</v>
      </c>
      <c r="E860" s="4">
        <v>6839</v>
      </c>
      <c r="F860" s="5">
        <v>265702537.80000001</v>
      </c>
      <c r="G860" s="5">
        <v>35657280.57</v>
      </c>
      <c r="H860" s="6">
        <v>13.42</v>
      </c>
      <c r="I860" s="6">
        <v>12.31</v>
      </c>
      <c r="J860" s="5">
        <v>4142.41</v>
      </c>
      <c r="K860" s="5">
        <v>5876.07</v>
      </c>
      <c r="L860" s="5">
        <v>265622018.80000001</v>
      </c>
      <c r="M860" s="5">
        <v>265683179.40000001</v>
      </c>
      <c r="N860" s="5">
        <v>80518.929999999993</v>
      </c>
      <c r="O860" s="5">
        <v>265636415.40000001</v>
      </c>
      <c r="P860" s="5">
        <v>265631619.69999999</v>
      </c>
      <c r="Q860" s="5">
        <v>4795.74</v>
      </c>
      <c r="R860" s="5">
        <v>32707982.399999999</v>
      </c>
      <c r="S860" s="5">
        <v>2949298.17</v>
      </c>
      <c r="T860" s="5">
        <v>74249.27</v>
      </c>
      <c r="U860" s="5">
        <v>42282.73</v>
      </c>
      <c r="V860" s="5">
        <v>10116.450000000001</v>
      </c>
      <c r="W860" s="5">
        <v>4280.1499999999996</v>
      </c>
      <c r="X860" s="5">
        <v>3119.29</v>
      </c>
      <c r="Y860" s="4">
        <v>1390605</v>
      </c>
    </row>
    <row r="861" spans="1:25" ht="16.05" customHeight="1" x14ac:dyDescent="0.3">
      <c r="A861" s="7">
        <v>640</v>
      </c>
      <c r="B861" s="7">
        <v>10</v>
      </c>
      <c r="C861" s="7">
        <v>2024</v>
      </c>
      <c r="D861" s="8" t="s">
        <v>28</v>
      </c>
      <c r="E861" s="9">
        <v>2102</v>
      </c>
      <c r="F861" s="10">
        <v>134261461.59999999</v>
      </c>
      <c r="G861" s="10">
        <v>36398282.229999997</v>
      </c>
      <c r="H861" s="11">
        <v>27.11</v>
      </c>
      <c r="I861" s="11">
        <v>8.0399999999999991</v>
      </c>
      <c r="J861" s="10">
        <v>5959.46</v>
      </c>
      <c r="K861" s="10">
        <v>7645.39</v>
      </c>
      <c r="L861" s="10">
        <v>134168109.90000001</v>
      </c>
      <c r="M861" s="10">
        <v>134254152.90000001</v>
      </c>
      <c r="N861" s="10">
        <v>93351.71</v>
      </c>
      <c r="O861" s="10">
        <v>134181225.7</v>
      </c>
      <c r="P861" s="10">
        <v>134176530.8</v>
      </c>
      <c r="Q861" s="10">
        <v>4694.96</v>
      </c>
      <c r="R861" s="10">
        <v>10794621.51</v>
      </c>
      <c r="S861" s="10">
        <v>25603660.719999999</v>
      </c>
      <c r="T861" s="10">
        <v>55598.17</v>
      </c>
      <c r="U861" s="10">
        <v>58753.71</v>
      </c>
      <c r="V861" s="10">
        <v>10602.19</v>
      </c>
      <c r="W861" s="10">
        <v>2513.6999999999998</v>
      </c>
      <c r="X861" s="10">
        <v>3152.82</v>
      </c>
      <c r="Y861" s="9">
        <v>1845199</v>
      </c>
    </row>
    <row r="862" spans="1:25" ht="16.05" customHeight="1" x14ac:dyDescent="0.3">
      <c r="A862" s="2">
        <v>710</v>
      </c>
      <c r="B862" s="2">
        <v>11</v>
      </c>
      <c r="C862" s="2">
        <v>2024</v>
      </c>
      <c r="D862" s="3" t="s">
        <v>28</v>
      </c>
      <c r="E862" s="4">
        <v>5949</v>
      </c>
      <c r="F862" s="5">
        <v>330966855.39999998</v>
      </c>
      <c r="G862" s="5">
        <v>16581439.449999999</v>
      </c>
      <c r="H862" s="6">
        <v>5.01</v>
      </c>
      <c r="I862" s="6">
        <v>6.16</v>
      </c>
      <c r="J862" s="5">
        <v>4529.54</v>
      </c>
      <c r="K862" s="5">
        <v>9979.31</v>
      </c>
      <c r="L862" s="5">
        <v>330894362.30000001</v>
      </c>
      <c r="M862" s="5">
        <v>330963021.5</v>
      </c>
      <c r="N862" s="5">
        <v>72493.100000000006</v>
      </c>
      <c r="O862" s="5">
        <v>330902315.10000002</v>
      </c>
      <c r="P862" s="5">
        <v>330889812.60000002</v>
      </c>
      <c r="Q862" s="5">
        <v>12502.49</v>
      </c>
      <c r="R862" s="5">
        <v>20387558.289999999</v>
      </c>
      <c r="S862" s="5">
        <v>-3806118.84</v>
      </c>
      <c r="T862" s="5">
        <v>68262.350000000006</v>
      </c>
      <c r="U862" s="5">
        <v>57498.21</v>
      </c>
      <c r="V862" s="5">
        <v>5689.26</v>
      </c>
      <c r="W862" s="5">
        <v>2263.59</v>
      </c>
      <c r="X862" s="5">
        <v>4818.95</v>
      </c>
      <c r="Y862" s="4">
        <v>4697499</v>
      </c>
    </row>
    <row r="863" spans="1:25" ht="16.05" customHeight="1" x14ac:dyDescent="0.3">
      <c r="A863" s="7">
        <v>780</v>
      </c>
      <c r="B863" s="7">
        <v>12</v>
      </c>
      <c r="C863" s="7">
        <v>2024</v>
      </c>
      <c r="D863" s="8" t="s">
        <v>28</v>
      </c>
      <c r="E863" s="9">
        <v>730</v>
      </c>
      <c r="F863" s="10">
        <v>11979899.82</v>
      </c>
      <c r="G863" s="10">
        <v>863750.78</v>
      </c>
      <c r="H863" s="11">
        <v>7.21</v>
      </c>
      <c r="I863" s="11">
        <v>16.41</v>
      </c>
      <c r="J863" s="10">
        <v>14885.95</v>
      </c>
      <c r="K863" s="10">
        <v>12018.21</v>
      </c>
      <c r="L863" s="10">
        <v>11947304.98</v>
      </c>
      <c r="M863" s="10">
        <v>11973164.43</v>
      </c>
      <c r="N863" s="10">
        <v>32594.84</v>
      </c>
      <c r="O863" s="10">
        <v>11959838.82</v>
      </c>
      <c r="P863" s="10">
        <v>11948681.609999999</v>
      </c>
      <c r="Q863" s="10">
        <v>11157.21</v>
      </c>
      <c r="R863" s="10">
        <v>1965901.56</v>
      </c>
      <c r="S863" s="10">
        <v>-1102150.78</v>
      </c>
      <c r="T863" s="10">
        <v>89418.95</v>
      </c>
      <c r="U863" s="10">
        <v>26699.78</v>
      </c>
      <c r="V863" s="10">
        <v>6586.22</v>
      </c>
      <c r="W863" s="10">
        <v>5947.62</v>
      </c>
      <c r="X863" s="10">
        <v>1871.15</v>
      </c>
      <c r="Y863" s="9">
        <v>2550669</v>
      </c>
    </row>
    <row r="864" spans="1:25" ht="16.05" customHeight="1" x14ac:dyDescent="0.3">
      <c r="A864" s="2">
        <v>850</v>
      </c>
      <c r="B864" s="2">
        <v>13</v>
      </c>
      <c r="C864" s="2">
        <v>2024</v>
      </c>
      <c r="D864" s="3" t="s">
        <v>28</v>
      </c>
      <c r="E864" s="4">
        <v>3206</v>
      </c>
      <c r="F864" s="5">
        <v>158308217.30000001</v>
      </c>
      <c r="G864" s="5">
        <v>15023449.82</v>
      </c>
      <c r="H864" s="6">
        <v>9.49</v>
      </c>
      <c r="I864" s="6">
        <v>11.79</v>
      </c>
      <c r="J864" s="5">
        <v>3260.49</v>
      </c>
      <c r="K864" s="5">
        <v>9054.9699999999993</v>
      </c>
      <c r="L864" s="5">
        <v>158284515</v>
      </c>
      <c r="M864" s="5">
        <v>158288347.80000001</v>
      </c>
      <c r="N864" s="5">
        <v>23702.3</v>
      </c>
      <c r="O864" s="5">
        <v>158296818.19999999</v>
      </c>
      <c r="P864" s="5">
        <v>158284825.09999999</v>
      </c>
      <c r="Q864" s="5">
        <v>11993.1</v>
      </c>
      <c r="R864" s="5">
        <v>18664538.82</v>
      </c>
      <c r="S864" s="5">
        <v>-3641089</v>
      </c>
      <c r="T864" s="5">
        <v>106359.85</v>
      </c>
      <c r="U864" s="5">
        <v>40286.42</v>
      </c>
      <c r="V864" s="5">
        <v>5825.21</v>
      </c>
      <c r="W864" s="5">
        <v>6477.96</v>
      </c>
      <c r="X864" s="5">
        <v>1233.79</v>
      </c>
      <c r="Y864" s="4">
        <v>3396794</v>
      </c>
    </row>
    <row r="865" spans="1:25" ht="16.05" customHeight="1" x14ac:dyDescent="0.3">
      <c r="A865" s="7">
        <v>920</v>
      </c>
      <c r="B865" s="7">
        <v>14</v>
      </c>
      <c r="C865" s="7">
        <v>2024</v>
      </c>
      <c r="D865" s="8" t="s">
        <v>28</v>
      </c>
      <c r="E865" s="9">
        <v>5801</v>
      </c>
      <c r="F865" s="10">
        <v>185677357</v>
      </c>
      <c r="G865" s="10">
        <v>19626096.640000001</v>
      </c>
      <c r="H865" s="11">
        <v>10.57</v>
      </c>
      <c r="I865" s="11">
        <v>14.12</v>
      </c>
      <c r="J865" s="10">
        <v>7517.41</v>
      </c>
      <c r="K865" s="10">
        <v>4701.45</v>
      </c>
      <c r="L865" s="10">
        <v>185608409.59999999</v>
      </c>
      <c r="M865" s="10">
        <v>185670084</v>
      </c>
      <c r="N865" s="10">
        <v>68947.44</v>
      </c>
      <c r="O865" s="10">
        <v>185613405.80000001</v>
      </c>
      <c r="P865" s="10">
        <v>185610233</v>
      </c>
      <c r="Q865" s="10">
        <v>3172.86</v>
      </c>
      <c r="R865" s="10">
        <v>26217642.809999999</v>
      </c>
      <c r="S865" s="10">
        <v>-6591546.1799999997</v>
      </c>
      <c r="T865" s="10">
        <v>51889.03</v>
      </c>
      <c r="U865" s="10">
        <v>48167.06</v>
      </c>
      <c r="V865" s="10">
        <v>1410.65</v>
      </c>
      <c r="W865" s="10">
        <v>3585.57</v>
      </c>
      <c r="X865" s="10">
        <v>4207.93</v>
      </c>
      <c r="Y865" s="9">
        <v>3556705</v>
      </c>
    </row>
    <row r="866" spans="1:25" ht="16.05" customHeight="1" x14ac:dyDescent="0.3">
      <c r="A866" s="2">
        <v>990</v>
      </c>
      <c r="B866" s="2">
        <v>15</v>
      </c>
      <c r="C866" s="2">
        <v>2024</v>
      </c>
      <c r="D866" s="3" t="s">
        <v>28</v>
      </c>
      <c r="E866" s="4">
        <v>3356</v>
      </c>
      <c r="F866" s="5">
        <v>139719477.40000001</v>
      </c>
      <c r="G866" s="5">
        <v>9654615.8900000006</v>
      </c>
      <c r="H866" s="6">
        <v>6.91</v>
      </c>
      <c r="I866" s="6">
        <v>18.78</v>
      </c>
      <c r="J866" s="5">
        <v>11026.75</v>
      </c>
      <c r="K866" s="5">
        <v>7372.49</v>
      </c>
      <c r="L866" s="5">
        <v>139627331.09999999</v>
      </c>
      <c r="M866" s="5">
        <v>139702509.30000001</v>
      </c>
      <c r="N866" s="5">
        <v>92146.29</v>
      </c>
      <c r="O866" s="5">
        <v>139638636.40000001</v>
      </c>
      <c r="P866" s="5">
        <v>139628933.5</v>
      </c>
      <c r="Q866" s="5">
        <v>9702.9599999999991</v>
      </c>
      <c r="R866" s="5">
        <v>26239317.859999999</v>
      </c>
      <c r="S866" s="5">
        <v>-16584701.970000001</v>
      </c>
      <c r="T866" s="5">
        <v>49105.67</v>
      </c>
      <c r="U866" s="5">
        <v>33128.449999999997</v>
      </c>
      <c r="V866" s="5">
        <v>3642.49</v>
      </c>
      <c r="W866" s="5">
        <v>7662.81</v>
      </c>
      <c r="X866" s="5">
        <v>2944.61</v>
      </c>
      <c r="Y866" s="4">
        <v>3207326</v>
      </c>
    </row>
    <row r="867" spans="1:25" ht="16.05" customHeight="1" x14ac:dyDescent="0.3">
      <c r="A867" s="7">
        <v>1060</v>
      </c>
      <c r="B867" s="7">
        <v>16</v>
      </c>
      <c r="C867" s="7">
        <v>2024</v>
      </c>
      <c r="D867" s="8" t="s">
        <v>28</v>
      </c>
      <c r="E867" s="9">
        <v>5062</v>
      </c>
      <c r="F867" s="10">
        <v>69859377.75</v>
      </c>
      <c r="G867" s="10">
        <v>20552628.93</v>
      </c>
      <c r="H867" s="11">
        <v>29.42</v>
      </c>
      <c r="I867" s="11">
        <v>11.93</v>
      </c>
      <c r="J867" s="10">
        <v>5128.17</v>
      </c>
      <c r="K867" s="10">
        <v>3251.54</v>
      </c>
      <c r="L867" s="10">
        <v>69836123.170000002</v>
      </c>
      <c r="M867" s="10">
        <v>69835280.430000007</v>
      </c>
      <c r="N867" s="10">
        <v>23254.58</v>
      </c>
      <c r="O867" s="10">
        <v>69844740.019999996</v>
      </c>
      <c r="P867" s="10">
        <v>69836056.230000004</v>
      </c>
      <c r="Q867" s="10">
        <v>8683.7900000000009</v>
      </c>
      <c r="R867" s="10">
        <v>8334223.7699999996</v>
      </c>
      <c r="S867" s="10">
        <v>12218405.17</v>
      </c>
      <c r="T867" s="10">
        <v>108039.25</v>
      </c>
      <c r="U867" s="10">
        <v>28719.82</v>
      </c>
      <c r="V867" s="10">
        <v>2941.49</v>
      </c>
      <c r="W867" s="10">
        <v>5675.36</v>
      </c>
      <c r="X867" s="10">
        <v>3881.35</v>
      </c>
      <c r="Y867" s="9">
        <v>3218955</v>
      </c>
    </row>
    <row r="868" spans="1:25" ht="16.05" customHeight="1" x14ac:dyDescent="0.3">
      <c r="A868" s="2">
        <v>1130</v>
      </c>
      <c r="B868" s="2">
        <v>17</v>
      </c>
      <c r="C868" s="2">
        <v>2024</v>
      </c>
      <c r="D868" s="3" t="s">
        <v>28</v>
      </c>
      <c r="E868" s="4">
        <v>6329</v>
      </c>
      <c r="F868" s="5">
        <v>70579220.469999999</v>
      </c>
      <c r="G868" s="5">
        <v>7072037.8899999997</v>
      </c>
      <c r="H868" s="6">
        <v>10.02</v>
      </c>
      <c r="I868" s="6">
        <v>7.49</v>
      </c>
      <c r="J868" s="5">
        <v>8741.7900000000009</v>
      </c>
      <c r="K868" s="5">
        <v>8147.25</v>
      </c>
      <c r="L868" s="5">
        <v>70564670.489999995</v>
      </c>
      <c r="M868" s="5">
        <v>70558009.980000004</v>
      </c>
      <c r="N868" s="5">
        <v>14549.98</v>
      </c>
      <c r="O868" s="5">
        <v>70578572.180000007</v>
      </c>
      <c r="P868" s="5">
        <v>70563592.379999995</v>
      </c>
      <c r="Q868" s="5">
        <v>14979.8</v>
      </c>
      <c r="R868" s="5">
        <v>5286383.6100000003</v>
      </c>
      <c r="S868" s="5">
        <v>1785654.28</v>
      </c>
      <c r="T868" s="5">
        <v>109390.63</v>
      </c>
      <c r="U868" s="5">
        <v>13670.86</v>
      </c>
      <c r="V868" s="5">
        <v>8042.58</v>
      </c>
      <c r="W868" s="5">
        <v>5859.11</v>
      </c>
      <c r="X868" s="5">
        <v>3807.79</v>
      </c>
      <c r="Y868" s="4">
        <v>3373309</v>
      </c>
    </row>
    <row r="869" spans="1:25" ht="16.05" customHeight="1" x14ac:dyDescent="0.3">
      <c r="A869" s="7">
        <v>1200</v>
      </c>
      <c r="B869" s="7">
        <v>18</v>
      </c>
      <c r="C869" s="7">
        <v>2024</v>
      </c>
      <c r="D869" s="8" t="s">
        <v>28</v>
      </c>
      <c r="E869" s="9">
        <v>490</v>
      </c>
      <c r="F869" s="10">
        <v>6922034.1200000001</v>
      </c>
      <c r="G869" s="10">
        <v>1101295.6299999999</v>
      </c>
      <c r="H869" s="11">
        <v>15.91</v>
      </c>
      <c r="I869" s="11">
        <v>15.92</v>
      </c>
      <c r="J869" s="10">
        <v>6219.39</v>
      </c>
      <c r="K869" s="10">
        <v>3580.32</v>
      </c>
      <c r="L869" s="10">
        <v>6845808.0999999996</v>
      </c>
      <c r="M869" s="10">
        <v>6913985.6299999999</v>
      </c>
      <c r="N869" s="10">
        <v>76226.02</v>
      </c>
      <c r="O869" s="10">
        <v>6860651.1100000003</v>
      </c>
      <c r="P869" s="10">
        <v>6852016.9800000004</v>
      </c>
      <c r="Q869" s="10">
        <v>8634.1299999999992</v>
      </c>
      <c r="R869" s="10">
        <v>1101987.83</v>
      </c>
      <c r="S869" s="10">
        <v>-692.2</v>
      </c>
      <c r="T869" s="10">
        <v>119341.21</v>
      </c>
      <c r="U869" s="10">
        <v>39554.29</v>
      </c>
      <c r="V869" s="10">
        <v>9158.3700000000008</v>
      </c>
      <c r="W869" s="10">
        <v>5684.64</v>
      </c>
      <c r="X869" s="10">
        <v>1263.71</v>
      </c>
      <c r="Y869" s="9">
        <v>1303660</v>
      </c>
    </row>
    <row r="870" spans="1:25" ht="16.05" customHeight="1" x14ac:dyDescent="0.3">
      <c r="A870" s="2">
        <v>1270</v>
      </c>
      <c r="B870" s="2">
        <v>19</v>
      </c>
      <c r="C870" s="2">
        <v>2024</v>
      </c>
      <c r="D870" s="3" t="s">
        <v>28</v>
      </c>
      <c r="E870" s="4">
        <v>6329</v>
      </c>
      <c r="F870" s="5">
        <v>321274552.60000002</v>
      </c>
      <c r="G870" s="5">
        <v>79772471.409999996</v>
      </c>
      <c r="H870" s="6">
        <v>24.83</v>
      </c>
      <c r="I870" s="6">
        <v>17.82</v>
      </c>
      <c r="J870" s="5">
        <v>14420.99</v>
      </c>
      <c r="K870" s="5">
        <v>17138.68</v>
      </c>
      <c r="L870" s="5">
        <v>321259618.39999998</v>
      </c>
      <c r="M870" s="5">
        <v>321265465.19999999</v>
      </c>
      <c r="N870" s="5">
        <v>14934.21</v>
      </c>
      <c r="O870" s="5">
        <v>321269427.39999998</v>
      </c>
      <c r="P870" s="5">
        <v>321264396.19999999</v>
      </c>
      <c r="Q870" s="5">
        <v>5031.26</v>
      </c>
      <c r="R870" s="5">
        <v>57251125.270000003</v>
      </c>
      <c r="S870" s="5">
        <v>22521346.140000001</v>
      </c>
      <c r="T870" s="5">
        <v>13773.64</v>
      </c>
      <c r="U870" s="5">
        <v>36263.870000000003</v>
      </c>
      <c r="V870" s="5">
        <v>3040.8</v>
      </c>
      <c r="W870" s="5">
        <v>6768.24</v>
      </c>
      <c r="X870" s="5">
        <v>2845.58</v>
      </c>
      <c r="Y870" s="4">
        <v>3000263</v>
      </c>
    </row>
    <row r="871" spans="1:25" ht="16.05" customHeight="1" x14ac:dyDescent="0.3">
      <c r="A871" s="7">
        <v>1340</v>
      </c>
      <c r="B871" s="7">
        <v>20</v>
      </c>
      <c r="C871" s="7">
        <v>2024</v>
      </c>
      <c r="D871" s="8" t="s">
        <v>28</v>
      </c>
      <c r="E871" s="9">
        <v>1252</v>
      </c>
      <c r="F871" s="10">
        <v>26508856.09</v>
      </c>
      <c r="G871" s="10">
        <v>1564022.51</v>
      </c>
      <c r="H871" s="11">
        <v>5.9</v>
      </c>
      <c r="I871" s="11">
        <v>8.43</v>
      </c>
      <c r="J871" s="10">
        <v>8876.1200000000008</v>
      </c>
      <c r="K871" s="10">
        <v>6750.45</v>
      </c>
      <c r="L871" s="10">
        <v>26455266.359999999</v>
      </c>
      <c r="M871" s="10">
        <v>26484690.530000001</v>
      </c>
      <c r="N871" s="10">
        <v>53589.73</v>
      </c>
      <c r="O871" s="10">
        <v>26467931.18</v>
      </c>
      <c r="P871" s="10">
        <v>26464713.699999999</v>
      </c>
      <c r="Q871" s="10">
        <v>3217.48</v>
      </c>
      <c r="R871" s="10">
        <v>2234696.5699999998</v>
      </c>
      <c r="S871" s="10">
        <v>-670674.06000000006</v>
      </c>
      <c r="T871" s="10">
        <v>36776.79</v>
      </c>
      <c r="U871" s="10">
        <v>56698.07</v>
      </c>
      <c r="V871" s="10">
        <v>10025.11</v>
      </c>
      <c r="W871" s="10">
        <v>2639.71</v>
      </c>
      <c r="X871" s="10">
        <v>4809.8599999999997</v>
      </c>
      <c r="Y871" s="9">
        <v>3347990</v>
      </c>
    </row>
    <row r="872" spans="1:25" ht="16.05" customHeight="1" x14ac:dyDescent="0.3">
      <c r="A872" s="2">
        <v>1410</v>
      </c>
      <c r="B872" s="2">
        <v>21</v>
      </c>
      <c r="C872" s="2">
        <v>2024</v>
      </c>
      <c r="D872" s="3" t="s">
        <v>28</v>
      </c>
      <c r="E872" s="4">
        <v>5596</v>
      </c>
      <c r="F872" s="5">
        <v>379038575</v>
      </c>
      <c r="G872" s="5">
        <v>94608028.329999998</v>
      </c>
      <c r="H872" s="6">
        <v>24.96</v>
      </c>
      <c r="I872" s="6">
        <v>11.45</v>
      </c>
      <c r="J872" s="5">
        <v>9028.32</v>
      </c>
      <c r="K872" s="5">
        <v>6064.19</v>
      </c>
      <c r="L872" s="5">
        <v>378990852.69999999</v>
      </c>
      <c r="M872" s="5">
        <v>379015649.89999998</v>
      </c>
      <c r="N872" s="5">
        <v>47722.3</v>
      </c>
      <c r="O872" s="5">
        <v>379000068</v>
      </c>
      <c r="P872" s="5">
        <v>378992081.80000001</v>
      </c>
      <c r="Q872" s="5">
        <v>7986.19</v>
      </c>
      <c r="R872" s="5">
        <v>43399916.840000004</v>
      </c>
      <c r="S872" s="5">
        <v>51208111.490000002</v>
      </c>
      <c r="T872" s="5">
        <v>44382.13</v>
      </c>
      <c r="U872" s="5">
        <v>15810.78</v>
      </c>
      <c r="V872" s="5">
        <v>8259.75</v>
      </c>
      <c r="W872" s="5">
        <v>955.55</v>
      </c>
      <c r="X872" s="5">
        <v>4673.88</v>
      </c>
      <c r="Y872" s="4">
        <v>3146768</v>
      </c>
    </row>
    <row r="873" spans="1:25" ht="16.05" customHeight="1" x14ac:dyDescent="0.3">
      <c r="A873" s="7">
        <v>1480</v>
      </c>
      <c r="B873" s="7">
        <v>22</v>
      </c>
      <c r="C873" s="7">
        <v>2024</v>
      </c>
      <c r="D873" s="8" t="s">
        <v>28</v>
      </c>
      <c r="E873" s="9">
        <v>6913</v>
      </c>
      <c r="F873" s="10">
        <v>390443486.89999998</v>
      </c>
      <c r="G873" s="10">
        <v>22489544.84</v>
      </c>
      <c r="H873" s="11">
        <v>5.76</v>
      </c>
      <c r="I873" s="11">
        <v>19.829999999999998</v>
      </c>
      <c r="J873" s="10">
        <v>3929.34</v>
      </c>
      <c r="K873" s="10">
        <v>13654.01</v>
      </c>
      <c r="L873" s="10">
        <v>390431556.69999999</v>
      </c>
      <c r="M873" s="10">
        <v>390438307.5</v>
      </c>
      <c r="N873" s="10">
        <v>11930.18</v>
      </c>
      <c r="O873" s="10">
        <v>390441170.89999998</v>
      </c>
      <c r="P873" s="10">
        <v>390428352.10000002</v>
      </c>
      <c r="Q873" s="10">
        <v>12818.82</v>
      </c>
      <c r="R873" s="10">
        <v>77424943.439999998</v>
      </c>
      <c r="S873" s="10">
        <v>-54935398.600000001</v>
      </c>
      <c r="T873" s="10">
        <v>75096.47</v>
      </c>
      <c r="U873" s="10">
        <v>15336.14</v>
      </c>
      <c r="V873" s="10">
        <v>8227.3700000000008</v>
      </c>
      <c r="W873" s="10">
        <v>1386.86</v>
      </c>
      <c r="X873" s="10">
        <v>2990.97</v>
      </c>
      <c r="Y873" s="9">
        <v>4178637</v>
      </c>
    </row>
    <row r="874" spans="1:25" ht="16.05" customHeight="1" x14ac:dyDescent="0.3">
      <c r="A874" s="2">
        <v>1550</v>
      </c>
      <c r="B874" s="2">
        <v>23</v>
      </c>
      <c r="C874" s="2">
        <v>2024</v>
      </c>
      <c r="D874" s="3" t="s">
        <v>28</v>
      </c>
      <c r="E874" s="4">
        <v>3669</v>
      </c>
      <c r="F874" s="5">
        <v>91115927.799999997</v>
      </c>
      <c r="G874" s="5">
        <v>19143456.43</v>
      </c>
      <c r="H874" s="6">
        <v>21.01</v>
      </c>
      <c r="I874" s="6">
        <v>14.73</v>
      </c>
      <c r="J874" s="5">
        <v>7918.24</v>
      </c>
      <c r="K874" s="5">
        <v>7511.85</v>
      </c>
      <c r="L874" s="5">
        <v>91073618.670000002</v>
      </c>
      <c r="M874" s="5">
        <v>91091669.650000006</v>
      </c>
      <c r="N874" s="5">
        <v>42309.13</v>
      </c>
      <c r="O874" s="5">
        <v>91087645.079999998</v>
      </c>
      <c r="P874" s="5">
        <v>91078949.890000001</v>
      </c>
      <c r="Q874" s="5">
        <v>8695.19</v>
      </c>
      <c r="R874" s="5">
        <v>13421376.16</v>
      </c>
      <c r="S874" s="5">
        <v>5722080.2699999996</v>
      </c>
      <c r="T874" s="5">
        <v>113138.86</v>
      </c>
      <c r="U874" s="5">
        <v>38384.370000000003</v>
      </c>
      <c r="V874" s="5">
        <v>7276.12</v>
      </c>
      <c r="W874" s="5">
        <v>6750.29</v>
      </c>
      <c r="X874" s="5">
        <v>2122.1799999999998</v>
      </c>
      <c r="Y874" s="4">
        <v>1321896</v>
      </c>
    </row>
    <row r="875" spans="1:25" ht="16.05" customHeight="1" x14ac:dyDescent="0.3">
      <c r="A875" s="7">
        <v>1620</v>
      </c>
      <c r="B875" s="7">
        <v>24</v>
      </c>
      <c r="C875" s="7">
        <v>2024</v>
      </c>
      <c r="D875" s="8" t="s">
        <v>28</v>
      </c>
      <c r="E875" s="9">
        <v>2626</v>
      </c>
      <c r="F875" s="10">
        <v>127942996.40000001</v>
      </c>
      <c r="G875" s="10">
        <v>30603964.73</v>
      </c>
      <c r="H875" s="11">
        <v>23.92</v>
      </c>
      <c r="I875" s="11">
        <v>17.95</v>
      </c>
      <c r="J875" s="10">
        <v>5347.95</v>
      </c>
      <c r="K875" s="10">
        <v>13364.79</v>
      </c>
      <c r="L875" s="10">
        <v>127849549.09999999</v>
      </c>
      <c r="M875" s="10">
        <v>127918550.3</v>
      </c>
      <c r="N875" s="10">
        <v>93447.29</v>
      </c>
      <c r="O875" s="10">
        <v>127855206.09999999</v>
      </c>
      <c r="P875" s="10">
        <v>127845486.7</v>
      </c>
      <c r="Q875" s="10">
        <v>9719.3799999999992</v>
      </c>
      <c r="R875" s="10">
        <v>22965767.850000001</v>
      </c>
      <c r="S875" s="10">
        <v>7638196.8799999999</v>
      </c>
      <c r="T875" s="10">
        <v>62374.67</v>
      </c>
      <c r="U875" s="10">
        <v>9397.2000000000007</v>
      </c>
      <c r="V875" s="10">
        <v>1459.93</v>
      </c>
      <c r="W875" s="10">
        <v>4197.1000000000004</v>
      </c>
      <c r="X875" s="10">
        <v>3188.93</v>
      </c>
      <c r="Y875" s="9">
        <v>2735573</v>
      </c>
    </row>
    <row r="876" spans="1:25" ht="16.05" customHeight="1" x14ac:dyDescent="0.3">
      <c r="A876" s="2">
        <v>1690</v>
      </c>
      <c r="B876" s="2">
        <v>25</v>
      </c>
      <c r="C876" s="2">
        <v>2024</v>
      </c>
      <c r="D876" s="3" t="s">
        <v>28</v>
      </c>
      <c r="E876" s="4">
        <v>1208</v>
      </c>
      <c r="F876" s="5">
        <v>13681794.630000001</v>
      </c>
      <c r="G876" s="5">
        <v>1041184.57</v>
      </c>
      <c r="H876" s="6">
        <v>7.61</v>
      </c>
      <c r="I876" s="6">
        <v>6.58</v>
      </c>
      <c r="J876" s="5">
        <v>4959.28</v>
      </c>
      <c r="K876" s="5">
        <v>7634.64</v>
      </c>
      <c r="L876" s="5">
        <v>13597259.550000001</v>
      </c>
      <c r="M876" s="5">
        <v>13659343.24</v>
      </c>
      <c r="N876" s="5">
        <v>84535.08</v>
      </c>
      <c r="O876" s="5">
        <v>13604694.24</v>
      </c>
      <c r="P876" s="5">
        <v>13597643.26</v>
      </c>
      <c r="Q876" s="5">
        <v>7050.98</v>
      </c>
      <c r="R876" s="5">
        <v>900262.09</v>
      </c>
      <c r="S876" s="5">
        <v>140922.48000000001</v>
      </c>
      <c r="T876" s="5">
        <v>46975.01</v>
      </c>
      <c r="U876" s="5">
        <v>15846.76</v>
      </c>
      <c r="V876" s="5">
        <v>4562.26</v>
      </c>
      <c r="W876" s="5">
        <v>2872.43</v>
      </c>
      <c r="X876" s="5">
        <v>4955.3</v>
      </c>
      <c r="Y876" s="4">
        <v>3641088</v>
      </c>
    </row>
    <row r="877" spans="1:25" ht="16.05" customHeight="1" x14ac:dyDescent="0.3">
      <c r="A877" s="7">
        <v>1760</v>
      </c>
      <c r="B877" s="7">
        <v>26</v>
      </c>
      <c r="C877" s="7">
        <v>2024</v>
      </c>
      <c r="D877" s="8" t="s">
        <v>28</v>
      </c>
      <c r="E877" s="9">
        <v>2018</v>
      </c>
      <c r="F877" s="10">
        <v>22474686.390000001</v>
      </c>
      <c r="G877" s="10">
        <v>6564855.9000000004</v>
      </c>
      <c r="H877" s="11">
        <v>29.21</v>
      </c>
      <c r="I877" s="11">
        <v>15.28</v>
      </c>
      <c r="J877" s="10">
        <v>7351.18</v>
      </c>
      <c r="K877" s="10">
        <v>13450.09</v>
      </c>
      <c r="L877" s="10">
        <v>22434252.789999999</v>
      </c>
      <c r="M877" s="10">
        <v>22465337.149999999</v>
      </c>
      <c r="N877" s="10">
        <v>40433.599999999999</v>
      </c>
      <c r="O877" s="10">
        <v>22449761.609999999</v>
      </c>
      <c r="P877" s="10">
        <v>22439066.210000001</v>
      </c>
      <c r="Q877" s="10">
        <v>10695.4</v>
      </c>
      <c r="R877" s="10">
        <v>3434132.08</v>
      </c>
      <c r="S877" s="10">
        <v>3130723.82</v>
      </c>
      <c r="T877" s="10">
        <v>30891.96</v>
      </c>
      <c r="U877" s="10">
        <v>48532.4</v>
      </c>
      <c r="V877" s="10">
        <v>10491.65</v>
      </c>
      <c r="W877" s="10">
        <v>5017.17</v>
      </c>
      <c r="X877" s="10">
        <v>1062.4100000000001</v>
      </c>
      <c r="Y877" s="9">
        <v>1611922</v>
      </c>
    </row>
    <row r="878" spans="1:25" ht="16.05" customHeight="1" x14ac:dyDescent="0.3">
      <c r="A878" s="2">
        <v>1830</v>
      </c>
      <c r="B878" s="2">
        <v>27</v>
      </c>
      <c r="C878" s="2">
        <v>2024</v>
      </c>
      <c r="D878" s="3" t="s">
        <v>28</v>
      </c>
      <c r="E878" s="4">
        <v>409</v>
      </c>
      <c r="F878" s="5">
        <v>12907350.49</v>
      </c>
      <c r="G878" s="5">
        <v>2542748.0499999998</v>
      </c>
      <c r="H878" s="6">
        <v>19.7</v>
      </c>
      <c r="I878" s="6">
        <v>13.75</v>
      </c>
      <c r="J878" s="5">
        <v>2322.12</v>
      </c>
      <c r="K878" s="5">
        <v>19379.2</v>
      </c>
      <c r="L878" s="5">
        <v>12864947.140000001</v>
      </c>
      <c r="M878" s="5">
        <v>12884234.24</v>
      </c>
      <c r="N878" s="5">
        <v>42403.35</v>
      </c>
      <c r="O878" s="5">
        <v>12870352.279999999</v>
      </c>
      <c r="P878" s="5">
        <v>12860177.4</v>
      </c>
      <c r="Q878" s="5">
        <v>10174.879999999999</v>
      </c>
      <c r="R878" s="5">
        <v>1774760.69</v>
      </c>
      <c r="S878" s="5">
        <v>767987.35</v>
      </c>
      <c r="T878" s="5">
        <v>34815.160000000003</v>
      </c>
      <c r="U878" s="5">
        <v>35595.910000000003</v>
      </c>
      <c r="V878" s="5">
        <v>2211.5300000000002</v>
      </c>
      <c r="W878" s="5">
        <v>3193.61</v>
      </c>
      <c r="X878" s="5">
        <v>3496.57</v>
      </c>
      <c r="Y878" s="4">
        <v>3565897</v>
      </c>
    </row>
    <row r="879" spans="1:25" ht="16.05" customHeight="1" x14ac:dyDescent="0.3">
      <c r="A879" s="7">
        <v>1900</v>
      </c>
      <c r="B879" s="7">
        <v>28</v>
      </c>
      <c r="C879" s="7">
        <v>2024</v>
      </c>
      <c r="D879" s="8" t="s">
        <v>28</v>
      </c>
      <c r="E879" s="9">
        <v>5482</v>
      </c>
      <c r="F879" s="10">
        <v>234653115.90000001</v>
      </c>
      <c r="G879" s="10">
        <v>60587434.520000003</v>
      </c>
      <c r="H879" s="11">
        <v>25.82</v>
      </c>
      <c r="I879" s="11">
        <v>6.55</v>
      </c>
      <c r="J879" s="10">
        <v>8440.01</v>
      </c>
      <c r="K879" s="10">
        <v>7636.28</v>
      </c>
      <c r="L879" s="10">
        <v>234642416.19999999</v>
      </c>
      <c r="M879" s="10">
        <v>234641131.19999999</v>
      </c>
      <c r="N879" s="10">
        <v>10699.63</v>
      </c>
      <c r="O879" s="10">
        <v>234652243.69999999</v>
      </c>
      <c r="P879" s="10">
        <v>234649928.69999999</v>
      </c>
      <c r="Q879" s="10">
        <v>2314.96</v>
      </c>
      <c r="R879" s="10">
        <v>15369779.09</v>
      </c>
      <c r="S879" s="10">
        <v>45217655.43</v>
      </c>
      <c r="T879" s="10">
        <v>86530.13</v>
      </c>
      <c r="U879" s="10">
        <v>49388.87</v>
      </c>
      <c r="V879" s="10">
        <v>4910.6400000000003</v>
      </c>
      <c r="W879" s="10">
        <v>4916.7700000000004</v>
      </c>
      <c r="X879" s="10">
        <v>3530.98</v>
      </c>
      <c r="Y879" s="9">
        <v>2649784</v>
      </c>
    </row>
    <row r="880" spans="1:25" ht="16.05" customHeight="1" x14ac:dyDescent="0.3">
      <c r="A880" s="2">
        <v>1970</v>
      </c>
      <c r="B880" s="2">
        <v>29</v>
      </c>
      <c r="C880" s="2">
        <v>2024</v>
      </c>
      <c r="D880" s="3" t="s">
        <v>28</v>
      </c>
      <c r="E880" s="4">
        <v>2235</v>
      </c>
      <c r="F880" s="5">
        <v>151248004.30000001</v>
      </c>
      <c r="G880" s="5">
        <v>12629208.359999999</v>
      </c>
      <c r="H880" s="6">
        <v>8.35</v>
      </c>
      <c r="I880" s="6">
        <v>9.11</v>
      </c>
      <c r="J880" s="5">
        <v>9122.0400000000009</v>
      </c>
      <c r="K880" s="5">
        <v>9325.2900000000009</v>
      </c>
      <c r="L880" s="5">
        <v>151195406.09999999</v>
      </c>
      <c r="M880" s="5">
        <v>151225595.19999999</v>
      </c>
      <c r="N880" s="5">
        <v>52598.21</v>
      </c>
      <c r="O880" s="5">
        <v>151205511.59999999</v>
      </c>
      <c r="P880" s="5">
        <v>151191158.09999999</v>
      </c>
      <c r="Q880" s="5">
        <v>14353.48</v>
      </c>
      <c r="R880" s="5">
        <v>13778693.189999999</v>
      </c>
      <c r="S880" s="5">
        <v>-1149484.83</v>
      </c>
      <c r="T880" s="5">
        <v>39347.21</v>
      </c>
      <c r="U880" s="5">
        <v>21667.52</v>
      </c>
      <c r="V880" s="5">
        <v>4304.2299999999996</v>
      </c>
      <c r="W880" s="5">
        <v>5801.31</v>
      </c>
      <c r="X880" s="5">
        <v>4893.99</v>
      </c>
      <c r="Y880" s="4">
        <v>1628614</v>
      </c>
    </row>
    <row r="881" spans="1:25" ht="16.05" customHeight="1" x14ac:dyDescent="0.3">
      <c r="A881" s="7">
        <v>2040</v>
      </c>
      <c r="B881" s="7">
        <v>30</v>
      </c>
      <c r="C881" s="7">
        <v>2024</v>
      </c>
      <c r="D881" s="8" t="s">
        <v>28</v>
      </c>
      <c r="E881" s="9">
        <v>4265</v>
      </c>
      <c r="F881" s="10">
        <v>243380100</v>
      </c>
      <c r="G881" s="10">
        <v>30836258.670000002</v>
      </c>
      <c r="H881" s="11">
        <v>12.67</v>
      </c>
      <c r="I881" s="11">
        <v>10.94</v>
      </c>
      <c r="J881" s="10">
        <v>3972.6</v>
      </c>
      <c r="K881" s="10">
        <v>3768.02</v>
      </c>
      <c r="L881" s="10">
        <v>243327482.09999999</v>
      </c>
      <c r="M881" s="10">
        <v>243374897.09999999</v>
      </c>
      <c r="N881" s="10">
        <v>52617.87</v>
      </c>
      <c r="O881" s="10">
        <v>243342624.40000001</v>
      </c>
      <c r="P881" s="10">
        <v>243328001</v>
      </c>
      <c r="Q881" s="10">
        <v>14623.41</v>
      </c>
      <c r="R881" s="10">
        <v>26625782.940000001</v>
      </c>
      <c r="S881" s="10">
        <v>4210475.7300000004</v>
      </c>
      <c r="T881" s="10">
        <v>18124.59</v>
      </c>
      <c r="U881" s="10">
        <v>49435.51</v>
      </c>
      <c r="V881" s="10">
        <v>11263.8</v>
      </c>
      <c r="W881" s="10">
        <v>3878.46</v>
      </c>
      <c r="X881" s="10">
        <v>4311.32</v>
      </c>
      <c r="Y881" s="9">
        <v>1143841</v>
      </c>
    </row>
    <row r="882" spans="1:25" ht="16.05" customHeight="1" x14ac:dyDescent="0.3">
      <c r="A882" s="2">
        <v>2110</v>
      </c>
      <c r="B882" s="2">
        <v>31</v>
      </c>
      <c r="C882" s="2">
        <v>2024</v>
      </c>
      <c r="D882" s="3" t="s">
        <v>28</v>
      </c>
      <c r="E882" s="4">
        <v>6121</v>
      </c>
      <c r="F882" s="5">
        <v>157183648.90000001</v>
      </c>
      <c r="G882" s="5">
        <v>42015189.340000004</v>
      </c>
      <c r="H882" s="6">
        <v>26.73</v>
      </c>
      <c r="I882" s="6">
        <v>12.63</v>
      </c>
      <c r="J882" s="5">
        <v>14718.36</v>
      </c>
      <c r="K882" s="5">
        <v>17632.29</v>
      </c>
      <c r="L882" s="5">
        <v>157088333.59999999</v>
      </c>
      <c r="M882" s="5">
        <v>157164143.59999999</v>
      </c>
      <c r="N882" s="5">
        <v>95315.21</v>
      </c>
      <c r="O882" s="5">
        <v>157097700.90000001</v>
      </c>
      <c r="P882" s="5">
        <v>157090785</v>
      </c>
      <c r="Q882" s="5">
        <v>6915.92</v>
      </c>
      <c r="R882" s="5">
        <v>19852294.850000001</v>
      </c>
      <c r="S882" s="5">
        <v>22162894.489999998</v>
      </c>
      <c r="T882" s="5">
        <v>109728.82</v>
      </c>
      <c r="U882" s="5">
        <v>18424.39</v>
      </c>
      <c r="V882" s="5">
        <v>6632.19</v>
      </c>
      <c r="W882" s="5">
        <v>2735.05</v>
      </c>
      <c r="X882" s="5">
        <v>4949.1899999999996</v>
      </c>
      <c r="Y882" s="4">
        <v>2724979</v>
      </c>
    </row>
    <row r="883" spans="1:25" ht="16.05" customHeight="1" x14ac:dyDescent="0.3">
      <c r="A883" s="7">
        <v>2180</v>
      </c>
      <c r="B883" s="7">
        <v>32</v>
      </c>
      <c r="C883" s="7">
        <v>2024</v>
      </c>
      <c r="D883" s="8" t="s">
        <v>28</v>
      </c>
      <c r="E883" s="9">
        <v>5853</v>
      </c>
      <c r="F883" s="10">
        <v>124910792.09999999</v>
      </c>
      <c r="G883" s="10">
        <v>28104928.23</v>
      </c>
      <c r="H883" s="11">
        <v>22.5</v>
      </c>
      <c r="I883" s="11">
        <v>7.35</v>
      </c>
      <c r="J883" s="10">
        <v>10656.11</v>
      </c>
      <c r="K883" s="10">
        <v>16559.96</v>
      </c>
      <c r="L883" s="10">
        <v>124829321.2</v>
      </c>
      <c r="M883" s="10">
        <v>124885573.8</v>
      </c>
      <c r="N883" s="10">
        <v>81470.960000000006</v>
      </c>
      <c r="O883" s="10">
        <v>124839585.90000001</v>
      </c>
      <c r="P883" s="10">
        <v>124832044.2</v>
      </c>
      <c r="Q883" s="10">
        <v>7541.61</v>
      </c>
      <c r="R883" s="10">
        <v>9180943.2200000007</v>
      </c>
      <c r="S883" s="10">
        <v>18923985.010000002</v>
      </c>
      <c r="T883" s="10">
        <v>50965.17</v>
      </c>
      <c r="U883" s="10">
        <v>47606.35</v>
      </c>
      <c r="V883" s="10">
        <v>3548.56</v>
      </c>
      <c r="W883" s="10">
        <v>6716.12</v>
      </c>
      <c r="X883" s="10">
        <v>1347.81</v>
      </c>
      <c r="Y883" s="9">
        <v>3917606</v>
      </c>
    </row>
    <row r="884" spans="1:25" ht="16.05" customHeight="1" x14ac:dyDescent="0.3">
      <c r="A884" s="2">
        <v>2250</v>
      </c>
      <c r="B884" s="2">
        <v>33</v>
      </c>
      <c r="C884" s="2">
        <v>2024</v>
      </c>
      <c r="D884" s="3" t="s">
        <v>28</v>
      </c>
      <c r="E884" s="4">
        <v>4534</v>
      </c>
      <c r="F884" s="5">
        <v>68639092.180000007</v>
      </c>
      <c r="G884" s="5">
        <v>19514093.91</v>
      </c>
      <c r="H884" s="6">
        <v>28.43</v>
      </c>
      <c r="I884" s="6">
        <v>12.49</v>
      </c>
      <c r="J884" s="5">
        <v>7166.05</v>
      </c>
      <c r="K884" s="5">
        <v>17110.95</v>
      </c>
      <c r="L884" s="5">
        <v>68584626.870000005</v>
      </c>
      <c r="M884" s="5">
        <v>68615418.079999998</v>
      </c>
      <c r="N884" s="5">
        <v>54465.31</v>
      </c>
      <c r="O884" s="5">
        <v>68600479.310000002</v>
      </c>
      <c r="P884" s="5">
        <v>68588976.579999998</v>
      </c>
      <c r="Q884" s="5">
        <v>11502.73</v>
      </c>
      <c r="R884" s="5">
        <v>8573022.6099999994</v>
      </c>
      <c r="S884" s="5">
        <v>10941071.289999999</v>
      </c>
      <c r="T884" s="5">
        <v>58945.07</v>
      </c>
      <c r="U884" s="5">
        <v>47709.22</v>
      </c>
      <c r="V884" s="5">
        <v>10534.44</v>
      </c>
      <c r="W884" s="5">
        <v>5318</v>
      </c>
      <c r="X884" s="5">
        <v>2696.26</v>
      </c>
      <c r="Y884" s="4">
        <v>3750073</v>
      </c>
    </row>
    <row r="885" spans="1:25" ht="16.05" customHeight="1" x14ac:dyDescent="0.3">
      <c r="A885" s="7">
        <v>2320</v>
      </c>
      <c r="B885" s="7">
        <v>34</v>
      </c>
      <c r="C885" s="7">
        <v>2024</v>
      </c>
      <c r="D885" s="8" t="s">
        <v>28</v>
      </c>
      <c r="E885" s="9">
        <v>1243</v>
      </c>
      <c r="F885" s="10">
        <v>16169485.550000001</v>
      </c>
      <c r="G885" s="10">
        <v>832728.51</v>
      </c>
      <c r="H885" s="11">
        <v>5.15</v>
      </c>
      <c r="I885" s="11">
        <v>15.59</v>
      </c>
      <c r="J885" s="10">
        <v>12452.37</v>
      </c>
      <c r="K885" s="10">
        <v>5881.01</v>
      </c>
      <c r="L885" s="10">
        <v>16092727.119999999</v>
      </c>
      <c r="M885" s="10">
        <v>16147503.880000001</v>
      </c>
      <c r="N885" s="10">
        <v>76758.429999999993</v>
      </c>
      <c r="O885" s="10">
        <v>16102254.99</v>
      </c>
      <c r="P885" s="10">
        <v>16091525.449999999</v>
      </c>
      <c r="Q885" s="10">
        <v>10729.54</v>
      </c>
      <c r="R885" s="10">
        <v>2520822.7999999998</v>
      </c>
      <c r="S885" s="10">
        <v>-1688094.29</v>
      </c>
      <c r="T885" s="10">
        <v>61200.65</v>
      </c>
      <c r="U885" s="10">
        <v>42923.98</v>
      </c>
      <c r="V885" s="10">
        <v>6759.26</v>
      </c>
      <c r="W885" s="10">
        <v>2768.61</v>
      </c>
      <c r="X885" s="10">
        <v>3065.37</v>
      </c>
      <c r="Y885" s="9">
        <v>1374461</v>
      </c>
    </row>
    <row r="886" spans="1:25" ht="16.05" customHeight="1" x14ac:dyDescent="0.3">
      <c r="A886" s="2">
        <v>2390</v>
      </c>
      <c r="B886" s="2">
        <v>35</v>
      </c>
      <c r="C886" s="2">
        <v>2024</v>
      </c>
      <c r="D886" s="3" t="s">
        <v>28</v>
      </c>
      <c r="E886" s="4">
        <v>6582</v>
      </c>
      <c r="F886" s="5">
        <v>256034829.59999999</v>
      </c>
      <c r="G886" s="5">
        <v>64623191</v>
      </c>
      <c r="H886" s="6">
        <v>25.24</v>
      </c>
      <c r="I886" s="6">
        <v>17.77</v>
      </c>
      <c r="J886" s="5">
        <v>6091.21</v>
      </c>
      <c r="K886" s="5">
        <v>7118.83</v>
      </c>
      <c r="L886" s="5">
        <v>255970525.80000001</v>
      </c>
      <c r="M886" s="5">
        <v>256013850.09999999</v>
      </c>
      <c r="N886" s="5">
        <v>64303.83</v>
      </c>
      <c r="O886" s="5">
        <v>255983686.19999999</v>
      </c>
      <c r="P886" s="5">
        <v>255974086.59999999</v>
      </c>
      <c r="Q886" s="5">
        <v>9599.52</v>
      </c>
      <c r="R886" s="5">
        <v>45497389.229999997</v>
      </c>
      <c r="S886" s="5">
        <v>19125801.77</v>
      </c>
      <c r="T886" s="5">
        <v>117961.35</v>
      </c>
      <c r="U886" s="5">
        <v>36954.89</v>
      </c>
      <c r="V886" s="5">
        <v>10781.47</v>
      </c>
      <c r="W886" s="5">
        <v>2378.87</v>
      </c>
      <c r="X886" s="5">
        <v>2628.39</v>
      </c>
      <c r="Y886" s="4">
        <v>1768826</v>
      </c>
    </row>
    <row r="887" spans="1:25" ht="16.05" customHeight="1" x14ac:dyDescent="0.3">
      <c r="A887" s="7">
        <v>2460</v>
      </c>
      <c r="B887" s="7">
        <v>36</v>
      </c>
      <c r="C887" s="7">
        <v>2024</v>
      </c>
      <c r="D887" s="8" t="s">
        <v>28</v>
      </c>
      <c r="E887" s="9">
        <v>5186</v>
      </c>
      <c r="F887" s="10">
        <v>276064673.19999999</v>
      </c>
      <c r="G887" s="10">
        <v>35336278.170000002</v>
      </c>
      <c r="H887" s="11">
        <v>12.8</v>
      </c>
      <c r="I887" s="11">
        <v>18.22</v>
      </c>
      <c r="J887" s="10">
        <v>9710.41</v>
      </c>
      <c r="K887" s="10">
        <v>10689.87</v>
      </c>
      <c r="L887" s="10">
        <v>276053471.89999998</v>
      </c>
      <c r="M887" s="10">
        <v>276055886.89999998</v>
      </c>
      <c r="N887" s="10">
        <v>11201.32</v>
      </c>
      <c r="O887" s="10">
        <v>276061290.80000001</v>
      </c>
      <c r="P887" s="10">
        <v>276048730</v>
      </c>
      <c r="Q887" s="10">
        <v>12560.81</v>
      </c>
      <c r="R887" s="10">
        <v>50298983.460000001</v>
      </c>
      <c r="S887" s="10">
        <v>-14962705.289999999</v>
      </c>
      <c r="T887" s="10">
        <v>107238.79</v>
      </c>
      <c r="U887" s="10">
        <v>42004.32</v>
      </c>
      <c r="V887" s="10">
        <v>3452.12</v>
      </c>
      <c r="W887" s="10">
        <v>4366.8100000000004</v>
      </c>
      <c r="X887" s="10">
        <v>4121.8599999999997</v>
      </c>
      <c r="Y887" s="9">
        <v>2024704</v>
      </c>
    </row>
    <row r="888" spans="1:25" ht="16.05" customHeight="1" x14ac:dyDescent="0.3">
      <c r="A888" s="2">
        <v>2530</v>
      </c>
      <c r="B888" s="2">
        <v>37</v>
      </c>
      <c r="C888" s="2">
        <v>2024</v>
      </c>
      <c r="D888" s="3" t="s">
        <v>28</v>
      </c>
      <c r="E888" s="4">
        <v>997</v>
      </c>
      <c r="F888" s="5">
        <v>11191733.66</v>
      </c>
      <c r="G888" s="5">
        <v>3283654.66</v>
      </c>
      <c r="H888" s="6">
        <v>29.34</v>
      </c>
      <c r="I888" s="6">
        <v>15.62</v>
      </c>
      <c r="J888" s="5">
        <v>1451.81</v>
      </c>
      <c r="K888" s="5">
        <v>19019.509999999998</v>
      </c>
      <c r="L888" s="5">
        <v>11116126.32</v>
      </c>
      <c r="M888" s="5">
        <v>11166951.08</v>
      </c>
      <c r="N888" s="5">
        <v>75607.34</v>
      </c>
      <c r="O888" s="5">
        <v>11120218.08</v>
      </c>
      <c r="P888" s="5">
        <v>11115365.26</v>
      </c>
      <c r="Q888" s="5">
        <v>4852.82</v>
      </c>
      <c r="R888" s="5">
        <v>1748148.8</v>
      </c>
      <c r="S888" s="5">
        <v>1535505.86</v>
      </c>
      <c r="T888" s="5">
        <v>67863.320000000007</v>
      </c>
      <c r="U888" s="5">
        <v>56654.43</v>
      </c>
      <c r="V888" s="5">
        <v>1224.68</v>
      </c>
      <c r="W888" s="5">
        <v>2867.08</v>
      </c>
      <c r="X888" s="5">
        <v>1536.93</v>
      </c>
      <c r="Y888" s="4">
        <v>2466373</v>
      </c>
    </row>
    <row r="889" spans="1:25" ht="16.05" customHeight="1" x14ac:dyDescent="0.3">
      <c r="A889" s="7">
        <v>2600</v>
      </c>
      <c r="B889" s="7">
        <v>38</v>
      </c>
      <c r="C889" s="7">
        <v>2024</v>
      </c>
      <c r="D889" s="8" t="s">
        <v>28</v>
      </c>
      <c r="E889" s="9">
        <v>4072</v>
      </c>
      <c r="F889" s="10">
        <v>148300121.19999999</v>
      </c>
      <c r="G889" s="10">
        <v>36971220.210000001</v>
      </c>
      <c r="H889" s="11">
        <v>24.93</v>
      </c>
      <c r="I889" s="11">
        <v>15.53</v>
      </c>
      <c r="J889" s="10">
        <v>3577.8</v>
      </c>
      <c r="K889" s="10">
        <v>19863.650000000001</v>
      </c>
      <c r="L889" s="10">
        <v>148265095.40000001</v>
      </c>
      <c r="M889" s="10">
        <v>148283775.69999999</v>
      </c>
      <c r="N889" s="10">
        <v>35025.78</v>
      </c>
      <c r="O889" s="10">
        <v>148271378.19999999</v>
      </c>
      <c r="P889" s="10">
        <v>148267402.69999999</v>
      </c>
      <c r="Q889" s="10">
        <v>3975.47</v>
      </c>
      <c r="R889" s="10">
        <v>23031008.82</v>
      </c>
      <c r="S889" s="10">
        <v>13940211.390000001</v>
      </c>
      <c r="T889" s="10">
        <v>85274.37</v>
      </c>
      <c r="U889" s="10">
        <v>16395.55</v>
      </c>
      <c r="V889" s="10">
        <v>2846.34</v>
      </c>
      <c r="W889" s="10">
        <v>3436.47</v>
      </c>
      <c r="X889" s="10">
        <v>4696.71</v>
      </c>
      <c r="Y889" s="9">
        <v>2538650</v>
      </c>
    </row>
    <row r="890" spans="1:25" ht="16.05" customHeight="1" x14ac:dyDescent="0.3">
      <c r="A890" s="2">
        <v>2670</v>
      </c>
      <c r="B890" s="2">
        <v>39</v>
      </c>
      <c r="C890" s="2">
        <v>2024</v>
      </c>
      <c r="D890" s="3" t="s">
        <v>28</v>
      </c>
      <c r="E890" s="4">
        <v>6352</v>
      </c>
      <c r="F890" s="5">
        <v>172376538.5</v>
      </c>
      <c r="G890" s="5">
        <v>42577005.020000003</v>
      </c>
      <c r="H890" s="6">
        <v>24.7</v>
      </c>
      <c r="I890" s="6">
        <v>16.62</v>
      </c>
      <c r="J890" s="5">
        <v>6386.8</v>
      </c>
      <c r="K890" s="5">
        <v>14444.53</v>
      </c>
      <c r="L890" s="5">
        <v>172298545.59999999</v>
      </c>
      <c r="M890" s="5">
        <v>172351639.69999999</v>
      </c>
      <c r="N890" s="5">
        <v>77992.89</v>
      </c>
      <c r="O890" s="5">
        <v>172310602.30000001</v>
      </c>
      <c r="P890" s="5">
        <v>172301002.80000001</v>
      </c>
      <c r="Q890" s="5">
        <v>9599.43</v>
      </c>
      <c r="R890" s="5">
        <v>28648980.699999999</v>
      </c>
      <c r="S890" s="5">
        <v>13928024.310000001</v>
      </c>
      <c r="T890" s="5">
        <v>14315.4</v>
      </c>
      <c r="U890" s="5">
        <v>33663.879999999997</v>
      </c>
      <c r="V890" s="5">
        <v>7147.63</v>
      </c>
      <c r="W890" s="5">
        <v>4909.01</v>
      </c>
      <c r="X890" s="5">
        <v>3000.93</v>
      </c>
      <c r="Y890" s="4">
        <v>4642738</v>
      </c>
    </row>
    <row r="891" spans="1:25" ht="16.05" customHeight="1" x14ac:dyDescent="0.3">
      <c r="A891" s="7">
        <v>2740</v>
      </c>
      <c r="B891" s="7">
        <v>40</v>
      </c>
      <c r="C891" s="7">
        <v>2024</v>
      </c>
      <c r="D891" s="8" t="s">
        <v>28</v>
      </c>
      <c r="E891" s="9">
        <v>2642</v>
      </c>
      <c r="F891" s="10">
        <v>23414704.899999999</v>
      </c>
      <c r="G891" s="10">
        <v>2147128.44</v>
      </c>
      <c r="H891" s="11">
        <v>9.17</v>
      </c>
      <c r="I891" s="11">
        <v>11.63</v>
      </c>
      <c r="J891" s="10">
        <v>3995.54</v>
      </c>
      <c r="K891" s="10">
        <v>15044.94</v>
      </c>
      <c r="L891" s="10">
        <v>23360960.77</v>
      </c>
      <c r="M891" s="10">
        <v>23410089.550000001</v>
      </c>
      <c r="N891" s="10">
        <v>53744.13</v>
      </c>
      <c r="O891" s="10">
        <v>23373114.640000001</v>
      </c>
      <c r="P891" s="10">
        <v>23359894.359999999</v>
      </c>
      <c r="Q891" s="10">
        <v>13220.28</v>
      </c>
      <c r="R891" s="10">
        <v>2723130.18</v>
      </c>
      <c r="S891" s="10">
        <v>-576001.74</v>
      </c>
      <c r="T891" s="10">
        <v>114010</v>
      </c>
      <c r="U891" s="10">
        <v>58068.160000000003</v>
      </c>
      <c r="V891" s="10">
        <v>8349.2199999999993</v>
      </c>
      <c r="W891" s="10">
        <v>3804.65</v>
      </c>
      <c r="X891" s="10">
        <v>4766.88</v>
      </c>
      <c r="Y891" s="9">
        <v>1992980</v>
      </c>
    </row>
    <row r="892" spans="1:25" ht="16.05" customHeight="1" x14ac:dyDescent="0.3">
      <c r="A892" s="2">
        <v>2810</v>
      </c>
      <c r="B892" s="2">
        <v>41</v>
      </c>
      <c r="C892" s="2">
        <v>2024</v>
      </c>
      <c r="D892" s="3" t="s">
        <v>28</v>
      </c>
      <c r="E892" s="4">
        <v>4666</v>
      </c>
      <c r="F892" s="5">
        <v>254149857</v>
      </c>
      <c r="G892" s="5">
        <v>59928536.280000001</v>
      </c>
      <c r="H892" s="6">
        <v>23.58</v>
      </c>
      <c r="I892" s="6">
        <v>15.39</v>
      </c>
      <c r="J892" s="5">
        <v>4196.01</v>
      </c>
      <c r="K892" s="5">
        <v>10692.97</v>
      </c>
      <c r="L892" s="5">
        <v>254087526.30000001</v>
      </c>
      <c r="M892" s="5">
        <v>254138179.59999999</v>
      </c>
      <c r="N892" s="5">
        <v>62330.63</v>
      </c>
      <c r="O892" s="5">
        <v>254092339.80000001</v>
      </c>
      <c r="P892" s="5">
        <v>254080710.59999999</v>
      </c>
      <c r="Q892" s="5">
        <v>11629.2</v>
      </c>
      <c r="R892" s="5">
        <v>39113662.990000002</v>
      </c>
      <c r="S892" s="5">
        <v>20814873.289999999</v>
      </c>
      <c r="T892" s="5">
        <v>32853.410000000003</v>
      </c>
      <c r="U892" s="5">
        <v>30306.82</v>
      </c>
      <c r="V892" s="5">
        <v>1570.48</v>
      </c>
      <c r="W892" s="5">
        <v>3242.94</v>
      </c>
      <c r="X892" s="5">
        <v>1022.16</v>
      </c>
      <c r="Y892" s="4">
        <v>1041573</v>
      </c>
    </row>
    <row r="893" spans="1:25" ht="16.05" customHeight="1" x14ac:dyDescent="0.3">
      <c r="A893" s="7">
        <v>2880</v>
      </c>
      <c r="B893" s="7">
        <v>42</v>
      </c>
      <c r="C893" s="7">
        <v>2024</v>
      </c>
      <c r="D893" s="8" t="s">
        <v>28</v>
      </c>
      <c r="E893" s="9">
        <v>2241</v>
      </c>
      <c r="F893" s="10">
        <v>56537908.590000004</v>
      </c>
      <c r="G893" s="10">
        <v>10640434.4</v>
      </c>
      <c r="H893" s="11">
        <v>18.82</v>
      </c>
      <c r="I893" s="11">
        <v>15.78</v>
      </c>
      <c r="J893" s="10">
        <v>4397.37</v>
      </c>
      <c r="K893" s="10">
        <v>17906.05</v>
      </c>
      <c r="L893" s="10">
        <v>56517163.159999996</v>
      </c>
      <c r="M893" s="10">
        <v>56526327.32</v>
      </c>
      <c r="N893" s="10">
        <v>20745.43</v>
      </c>
      <c r="O893" s="10">
        <v>56532805.240000002</v>
      </c>
      <c r="P893" s="10">
        <v>56519437.93</v>
      </c>
      <c r="Q893" s="10">
        <v>13367.31</v>
      </c>
      <c r="R893" s="10">
        <v>8921681.9800000004</v>
      </c>
      <c r="S893" s="10">
        <v>1718752.42</v>
      </c>
      <c r="T893" s="10">
        <v>99832.83</v>
      </c>
      <c r="U893" s="10">
        <v>17403.02</v>
      </c>
      <c r="V893" s="10">
        <v>11962.52</v>
      </c>
      <c r="W893" s="10">
        <v>3679.56</v>
      </c>
      <c r="X893" s="10">
        <v>1195.8</v>
      </c>
      <c r="Y893" s="9">
        <v>4561351</v>
      </c>
    </row>
    <row r="894" spans="1:25" ht="16.05" customHeight="1" x14ac:dyDescent="0.3">
      <c r="A894" s="2">
        <v>2950</v>
      </c>
      <c r="B894" s="2">
        <v>43</v>
      </c>
      <c r="C894" s="2">
        <v>2024</v>
      </c>
      <c r="D894" s="3" t="s">
        <v>28</v>
      </c>
      <c r="E894" s="4">
        <v>4480</v>
      </c>
      <c r="F894" s="5">
        <v>280084856.19999999</v>
      </c>
      <c r="G894" s="5">
        <v>39968108.979999997</v>
      </c>
      <c r="H894" s="6">
        <v>14.27</v>
      </c>
      <c r="I894" s="6">
        <v>5.16</v>
      </c>
      <c r="J894" s="5">
        <v>14145.45</v>
      </c>
      <c r="K894" s="5">
        <v>11856.23</v>
      </c>
      <c r="L894" s="5">
        <v>280053830.69999999</v>
      </c>
      <c r="M894" s="5">
        <v>280081348.60000002</v>
      </c>
      <c r="N894" s="5">
        <v>31025.55</v>
      </c>
      <c r="O894" s="5">
        <v>280062451.19999999</v>
      </c>
      <c r="P894" s="5">
        <v>280055762.80000001</v>
      </c>
      <c r="Q894" s="5">
        <v>6688.47</v>
      </c>
      <c r="R894" s="5">
        <v>14452378.58</v>
      </c>
      <c r="S894" s="5">
        <v>25515730.399999999</v>
      </c>
      <c r="T894" s="5">
        <v>23178.66</v>
      </c>
      <c r="U894" s="5">
        <v>55499.96</v>
      </c>
      <c r="V894" s="5">
        <v>4972.29</v>
      </c>
      <c r="W894" s="5">
        <v>3648.25</v>
      </c>
      <c r="X894" s="5">
        <v>1966.61</v>
      </c>
      <c r="Y894" s="4">
        <v>3286304</v>
      </c>
    </row>
    <row r="895" spans="1:25" ht="16.05" customHeight="1" x14ac:dyDescent="0.3">
      <c r="A895" s="7">
        <v>3020</v>
      </c>
      <c r="B895" s="7">
        <v>44</v>
      </c>
      <c r="C895" s="7">
        <v>2024</v>
      </c>
      <c r="D895" s="8" t="s">
        <v>28</v>
      </c>
      <c r="E895" s="9">
        <v>6885</v>
      </c>
      <c r="F895" s="10">
        <v>233520683.09999999</v>
      </c>
      <c r="G895" s="10">
        <v>49459680.689999998</v>
      </c>
      <c r="H895" s="11">
        <v>21.18</v>
      </c>
      <c r="I895" s="11">
        <v>9.0299999999999994</v>
      </c>
      <c r="J895" s="10">
        <v>5087.2</v>
      </c>
      <c r="K895" s="10">
        <v>4221.22</v>
      </c>
      <c r="L895" s="10">
        <v>233437601.80000001</v>
      </c>
      <c r="M895" s="10">
        <v>233496472.40000001</v>
      </c>
      <c r="N895" s="10">
        <v>83081.320000000007</v>
      </c>
      <c r="O895" s="10">
        <v>233445182.40000001</v>
      </c>
      <c r="P895" s="10">
        <v>233437981.80000001</v>
      </c>
      <c r="Q895" s="10">
        <v>7200.62</v>
      </c>
      <c r="R895" s="10">
        <v>21086917.690000001</v>
      </c>
      <c r="S895" s="10">
        <v>28372763</v>
      </c>
      <c r="T895" s="10">
        <v>67880.679999999993</v>
      </c>
      <c r="U895" s="10">
        <v>10290.01</v>
      </c>
      <c r="V895" s="10">
        <v>5310.36</v>
      </c>
      <c r="W895" s="10">
        <v>2270.2399999999998</v>
      </c>
      <c r="X895" s="10">
        <v>1238.45</v>
      </c>
      <c r="Y895" s="9">
        <v>1714702</v>
      </c>
    </row>
    <row r="896" spans="1:25" ht="16.05" customHeight="1" x14ac:dyDescent="0.3">
      <c r="A896" s="2">
        <v>3090</v>
      </c>
      <c r="B896" s="2">
        <v>45</v>
      </c>
      <c r="C896" s="2">
        <v>2024</v>
      </c>
      <c r="D896" s="3" t="s">
        <v>28</v>
      </c>
      <c r="E896" s="4">
        <v>347</v>
      </c>
      <c r="F896" s="5">
        <v>3084392.92</v>
      </c>
      <c r="G896" s="5">
        <v>655433.5</v>
      </c>
      <c r="H896" s="6">
        <v>21.25</v>
      </c>
      <c r="I896" s="6">
        <v>9.3699999999999992</v>
      </c>
      <c r="J896" s="5">
        <v>3358.97</v>
      </c>
      <c r="K896" s="5">
        <v>18004.88</v>
      </c>
      <c r="L896" s="5">
        <v>2995245.56</v>
      </c>
      <c r="M896" s="5">
        <v>3060246.46</v>
      </c>
      <c r="N896" s="5">
        <v>89147.37</v>
      </c>
      <c r="O896" s="5">
        <v>3000192.14</v>
      </c>
      <c r="P896" s="5">
        <v>2987739.32</v>
      </c>
      <c r="Q896" s="5">
        <v>12452.82</v>
      </c>
      <c r="R896" s="5">
        <v>289007.62</v>
      </c>
      <c r="S896" s="5">
        <v>366425.88</v>
      </c>
      <c r="T896" s="5">
        <v>26254.67</v>
      </c>
      <c r="U896" s="5">
        <v>11632.99</v>
      </c>
      <c r="V896" s="5">
        <v>3780.46</v>
      </c>
      <c r="W896" s="5">
        <v>1166.1199999999999</v>
      </c>
      <c r="X896" s="5">
        <v>4257.51</v>
      </c>
      <c r="Y896" s="4">
        <v>3751342</v>
      </c>
    </row>
    <row r="897" spans="1:25" ht="16.05" customHeight="1" x14ac:dyDescent="0.3">
      <c r="A897" s="7">
        <v>3160</v>
      </c>
      <c r="B897" s="7">
        <v>46</v>
      </c>
      <c r="C897" s="7">
        <v>2024</v>
      </c>
      <c r="D897" s="8" t="s">
        <v>28</v>
      </c>
      <c r="E897" s="9">
        <v>3382</v>
      </c>
      <c r="F897" s="10">
        <v>164273043.40000001</v>
      </c>
      <c r="G897" s="10">
        <v>46916381.189999998</v>
      </c>
      <c r="H897" s="11">
        <v>28.56</v>
      </c>
      <c r="I897" s="11">
        <v>17.93</v>
      </c>
      <c r="J897" s="10">
        <v>2419.1</v>
      </c>
      <c r="K897" s="10">
        <v>16729.509999999998</v>
      </c>
      <c r="L897" s="10">
        <v>164245056.30000001</v>
      </c>
      <c r="M897" s="10">
        <v>164257407</v>
      </c>
      <c r="N897" s="10">
        <v>27987.119999999999</v>
      </c>
      <c r="O897" s="10">
        <v>164255847</v>
      </c>
      <c r="P897" s="10">
        <v>164242724</v>
      </c>
      <c r="Q897" s="10">
        <v>13123.08</v>
      </c>
      <c r="R897" s="10">
        <v>29454156.68</v>
      </c>
      <c r="S897" s="10">
        <v>17462224.510000002</v>
      </c>
      <c r="T897" s="10">
        <v>73958.080000000002</v>
      </c>
      <c r="U897" s="10">
        <v>58933.85</v>
      </c>
      <c r="V897" s="10">
        <v>6102.53</v>
      </c>
      <c r="W897" s="10">
        <v>4688.25</v>
      </c>
      <c r="X897" s="10">
        <v>2121.91</v>
      </c>
      <c r="Y897" s="9">
        <v>2565810</v>
      </c>
    </row>
    <row r="898" spans="1:25" ht="16.05" customHeight="1" x14ac:dyDescent="0.3">
      <c r="A898" s="2">
        <v>3230</v>
      </c>
      <c r="B898" s="2">
        <v>47</v>
      </c>
      <c r="C898" s="2">
        <v>2024</v>
      </c>
      <c r="D898" s="3" t="s">
        <v>28</v>
      </c>
      <c r="E898" s="4">
        <v>3050</v>
      </c>
      <c r="F898" s="5">
        <v>75540028.590000004</v>
      </c>
      <c r="G898" s="5">
        <v>14904047.640000001</v>
      </c>
      <c r="H898" s="6">
        <v>19.73</v>
      </c>
      <c r="I898" s="6">
        <v>15.48</v>
      </c>
      <c r="J898" s="5">
        <v>9987.77</v>
      </c>
      <c r="K898" s="5">
        <v>2837.59</v>
      </c>
      <c r="L898" s="5">
        <v>75508153.469999999</v>
      </c>
      <c r="M898" s="5">
        <v>75527673.920000002</v>
      </c>
      <c r="N898" s="5">
        <v>31875.119999999999</v>
      </c>
      <c r="O898" s="5">
        <v>75518306.200000003</v>
      </c>
      <c r="P898" s="5">
        <v>75507415.5</v>
      </c>
      <c r="Q898" s="5">
        <v>10890.7</v>
      </c>
      <c r="R898" s="5">
        <v>11693596.43</v>
      </c>
      <c r="S898" s="5">
        <v>3210451.22</v>
      </c>
      <c r="T898" s="5">
        <v>78787.58</v>
      </c>
      <c r="U898" s="5">
        <v>50423.11</v>
      </c>
      <c r="V898" s="5">
        <v>2587.83</v>
      </c>
      <c r="W898" s="5">
        <v>7564.9</v>
      </c>
      <c r="X898" s="5">
        <v>2560.02</v>
      </c>
      <c r="Y898" s="4">
        <v>3054888</v>
      </c>
    </row>
    <row r="899" spans="1:25" ht="16.05" customHeight="1" x14ac:dyDescent="0.3">
      <c r="A899" s="7">
        <v>3300</v>
      </c>
      <c r="B899" s="7">
        <v>48</v>
      </c>
      <c r="C899" s="7">
        <v>2024</v>
      </c>
      <c r="D899" s="8" t="s">
        <v>28</v>
      </c>
      <c r="E899" s="9">
        <v>439</v>
      </c>
      <c r="F899" s="10">
        <v>15525371.390000001</v>
      </c>
      <c r="G899" s="10">
        <v>4298975.34</v>
      </c>
      <c r="H899" s="11">
        <v>27.69</v>
      </c>
      <c r="I899" s="11">
        <v>16.88</v>
      </c>
      <c r="J899" s="10">
        <v>4196.22</v>
      </c>
      <c r="K899" s="10">
        <v>8499.91</v>
      </c>
      <c r="L899" s="10">
        <v>15513206.1</v>
      </c>
      <c r="M899" s="10">
        <v>15501785.210000001</v>
      </c>
      <c r="N899" s="10">
        <v>12165.29</v>
      </c>
      <c r="O899" s="10">
        <v>15524335.15</v>
      </c>
      <c r="P899" s="10">
        <v>15520397.9</v>
      </c>
      <c r="Q899" s="10">
        <v>3937.25</v>
      </c>
      <c r="R899" s="10">
        <v>2620682.69</v>
      </c>
      <c r="S899" s="10">
        <v>1678292.65</v>
      </c>
      <c r="T899" s="10">
        <v>50400.800000000003</v>
      </c>
      <c r="U899" s="10">
        <v>34362.92</v>
      </c>
      <c r="V899" s="10">
        <v>6265.76</v>
      </c>
      <c r="W899" s="10">
        <v>4863.29</v>
      </c>
      <c r="X899" s="10">
        <v>3314.97</v>
      </c>
      <c r="Y899" s="9">
        <v>2090581</v>
      </c>
    </row>
    <row r="900" spans="1:25" ht="16.05" customHeight="1" x14ac:dyDescent="0.3">
      <c r="A900" s="2">
        <v>3370</v>
      </c>
      <c r="B900" s="2">
        <v>49</v>
      </c>
      <c r="C900" s="2">
        <v>2024</v>
      </c>
      <c r="D900" s="3" t="s">
        <v>28</v>
      </c>
      <c r="E900" s="4">
        <v>6008</v>
      </c>
      <c r="F900" s="5">
        <v>77996229.980000004</v>
      </c>
      <c r="G900" s="5">
        <v>12822580.210000001</v>
      </c>
      <c r="H900" s="6">
        <v>16.440000000000001</v>
      </c>
      <c r="I900" s="6">
        <v>19.97</v>
      </c>
      <c r="J900" s="5">
        <v>7746.5</v>
      </c>
      <c r="K900" s="5">
        <v>11991.52</v>
      </c>
      <c r="L900" s="5">
        <v>77903320.450000003</v>
      </c>
      <c r="M900" s="5">
        <v>77980840.989999995</v>
      </c>
      <c r="N900" s="5">
        <v>92909.53</v>
      </c>
      <c r="O900" s="5">
        <v>77919203.359999999</v>
      </c>
      <c r="P900" s="5">
        <v>77910731.129999995</v>
      </c>
      <c r="Q900" s="5">
        <v>8472.23</v>
      </c>
      <c r="R900" s="5">
        <v>15575847.130000001</v>
      </c>
      <c r="S900" s="5">
        <v>-2753266.92</v>
      </c>
      <c r="T900" s="5">
        <v>90182.399999999994</v>
      </c>
      <c r="U900" s="5">
        <v>52498.96</v>
      </c>
      <c r="V900" s="5">
        <v>7949.29</v>
      </c>
      <c r="W900" s="5">
        <v>7933.62</v>
      </c>
      <c r="X900" s="5">
        <v>2673.98</v>
      </c>
      <c r="Y900" s="4">
        <v>3918597</v>
      </c>
    </row>
    <row r="901" spans="1:25" ht="16.05" customHeight="1" x14ac:dyDescent="0.3">
      <c r="A901" s="7">
        <v>3440</v>
      </c>
      <c r="B901" s="7">
        <v>50</v>
      </c>
      <c r="C901" s="7">
        <v>2024</v>
      </c>
      <c r="D901" s="8" t="s">
        <v>28</v>
      </c>
      <c r="E901" s="9">
        <v>2439</v>
      </c>
      <c r="F901" s="10">
        <v>92957912.799999997</v>
      </c>
      <c r="G901" s="10">
        <v>14715237.6</v>
      </c>
      <c r="H901" s="11">
        <v>15.83</v>
      </c>
      <c r="I901" s="11">
        <v>18.54</v>
      </c>
      <c r="J901" s="10">
        <v>11130.53</v>
      </c>
      <c r="K901" s="10">
        <v>17394.8</v>
      </c>
      <c r="L901" s="10">
        <v>92899826.349999994</v>
      </c>
      <c r="M901" s="10">
        <v>92940425.790000007</v>
      </c>
      <c r="N901" s="10">
        <v>58086.45</v>
      </c>
      <c r="O901" s="10">
        <v>92903943.319999993</v>
      </c>
      <c r="P901" s="10">
        <v>92897355.980000004</v>
      </c>
      <c r="Q901" s="10">
        <v>6587.34</v>
      </c>
      <c r="R901" s="10">
        <v>17234397.030000001</v>
      </c>
      <c r="S901" s="10">
        <v>-2519159.44</v>
      </c>
      <c r="T901" s="10">
        <v>49996.47</v>
      </c>
      <c r="U901" s="10">
        <v>12140.5</v>
      </c>
      <c r="V901" s="10">
        <v>1116.93</v>
      </c>
      <c r="W901" s="10">
        <v>3000.04</v>
      </c>
      <c r="X901" s="10">
        <v>2993.96</v>
      </c>
      <c r="Y901" s="9">
        <v>3076139</v>
      </c>
    </row>
    <row r="902" spans="1:25" ht="16.05" customHeight="1" x14ac:dyDescent="0.3">
      <c r="A902" s="2">
        <v>70</v>
      </c>
      <c r="B902" s="2">
        <v>1</v>
      </c>
      <c r="C902" s="2">
        <v>2024</v>
      </c>
      <c r="D902" s="3" t="s">
        <v>29</v>
      </c>
      <c r="E902" s="4">
        <v>3351</v>
      </c>
      <c r="F902" s="5">
        <v>216553308.59999999</v>
      </c>
      <c r="G902" s="5">
        <v>25033562.469999999</v>
      </c>
      <c r="H902" s="6">
        <v>11.56</v>
      </c>
      <c r="I902" s="6">
        <v>12.06</v>
      </c>
      <c r="J902" s="5">
        <v>10083.709999999999</v>
      </c>
      <c r="K902" s="5">
        <v>11429.66</v>
      </c>
      <c r="L902" s="5">
        <v>216459305.80000001</v>
      </c>
      <c r="M902" s="5">
        <v>216539955.30000001</v>
      </c>
      <c r="N902" s="5">
        <v>94002.78</v>
      </c>
      <c r="O902" s="5">
        <v>216470726.5</v>
      </c>
      <c r="P902" s="5">
        <v>216462344.19999999</v>
      </c>
      <c r="Q902" s="5">
        <v>8382.3799999999992</v>
      </c>
      <c r="R902" s="5">
        <v>26116329.010000002</v>
      </c>
      <c r="S902" s="5">
        <v>-1082766.54</v>
      </c>
      <c r="T902" s="5">
        <v>48899.96</v>
      </c>
      <c r="U902" s="5">
        <v>33058.65</v>
      </c>
      <c r="V902" s="5">
        <v>7491.34</v>
      </c>
      <c r="W902" s="5">
        <v>3929.43</v>
      </c>
      <c r="X902" s="5">
        <v>3138.68</v>
      </c>
      <c r="Y902" s="4">
        <v>3397370</v>
      </c>
    </row>
    <row r="903" spans="1:25" ht="16.05" customHeight="1" x14ac:dyDescent="0.3">
      <c r="A903" s="7">
        <v>140</v>
      </c>
      <c r="B903" s="7">
        <v>2</v>
      </c>
      <c r="C903" s="7">
        <v>2024</v>
      </c>
      <c r="D903" s="8" t="s">
        <v>29</v>
      </c>
      <c r="E903" s="9">
        <v>3773</v>
      </c>
      <c r="F903" s="10">
        <v>91424846.400000006</v>
      </c>
      <c r="G903" s="10">
        <v>5960899.9800000004</v>
      </c>
      <c r="H903" s="11">
        <v>6.52</v>
      </c>
      <c r="I903" s="11">
        <v>10.37</v>
      </c>
      <c r="J903" s="10">
        <v>3484.26</v>
      </c>
      <c r="K903" s="10">
        <v>13366.68</v>
      </c>
      <c r="L903" s="10">
        <v>91395037.409999996</v>
      </c>
      <c r="M903" s="10">
        <v>91420334.379999995</v>
      </c>
      <c r="N903" s="10">
        <v>29808.99</v>
      </c>
      <c r="O903" s="10">
        <v>91408788.920000002</v>
      </c>
      <c r="P903" s="10">
        <v>91397775.260000005</v>
      </c>
      <c r="Q903" s="10">
        <v>11013.66</v>
      </c>
      <c r="R903" s="10">
        <v>9480756.5700000003</v>
      </c>
      <c r="S903" s="10">
        <v>-3519856.59</v>
      </c>
      <c r="T903" s="10">
        <v>11549.77</v>
      </c>
      <c r="U903" s="10">
        <v>33797.68</v>
      </c>
      <c r="V903" s="10">
        <v>6812.21</v>
      </c>
      <c r="W903" s="10">
        <v>6939.3</v>
      </c>
      <c r="X903" s="10">
        <v>4923.24</v>
      </c>
      <c r="Y903" s="9">
        <v>4063234</v>
      </c>
    </row>
    <row r="904" spans="1:25" ht="16.05" customHeight="1" x14ac:dyDescent="0.3">
      <c r="A904" s="2">
        <v>210</v>
      </c>
      <c r="B904" s="2">
        <v>3</v>
      </c>
      <c r="C904" s="2">
        <v>2024</v>
      </c>
      <c r="D904" s="3" t="s">
        <v>29</v>
      </c>
      <c r="E904" s="4">
        <v>6844</v>
      </c>
      <c r="F904" s="5">
        <v>365073919.69999999</v>
      </c>
      <c r="G904" s="5">
        <v>106382540.2</v>
      </c>
      <c r="H904" s="6">
        <v>29.14</v>
      </c>
      <c r="I904" s="6">
        <v>19.03</v>
      </c>
      <c r="J904" s="5">
        <v>4199.13</v>
      </c>
      <c r="K904" s="5">
        <v>2633.55</v>
      </c>
      <c r="L904" s="5">
        <v>365026057.80000001</v>
      </c>
      <c r="M904" s="5">
        <v>365068139.60000002</v>
      </c>
      <c r="N904" s="5">
        <v>47861.91</v>
      </c>
      <c r="O904" s="5">
        <v>365033865.5</v>
      </c>
      <c r="P904" s="5">
        <v>365025763.80000001</v>
      </c>
      <c r="Q904" s="5">
        <v>8101.67</v>
      </c>
      <c r="R904" s="5">
        <v>69473566.909999996</v>
      </c>
      <c r="S904" s="5">
        <v>36908973.280000001</v>
      </c>
      <c r="T904" s="5">
        <v>87232.01</v>
      </c>
      <c r="U904" s="5">
        <v>48764.15</v>
      </c>
      <c r="V904" s="5">
        <v>5297.83</v>
      </c>
      <c r="W904" s="5">
        <v>2509.91</v>
      </c>
      <c r="X904" s="5">
        <v>3899.01</v>
      </c>
      <c r="Y904" s="4">
        <v>3214254</v>
      </c>
    </row>
    <row r="905" spans="1:25" ht="16.05" customHeight="1" x14ac:dyDescent="0.3">
      <c r="A905" s="7">
        <v>280</v>
      </c>
      <c r="B905" s="7">
        <v>4</v>
      </c>
      <c r="C905" s="7">
        <v>2024</v>
      </c>
      <c r="D905" s="8" t="s">
        <v>29</v>
      </c>
      <c r="E905" s="9">
        <v>3403</v>
      </c>
      <c r="F905" s="10">
        <v>112091073.09999999</v>
      </c>
      <c r="G905" s="10">
        <v>12027372.140000001</v>
      </c>
      <c r="H905" s="11">
        <v>10.73</v>
      </c>
      <c r="I905" s="11">
        <v>13.87</v>
      </c>
      <c r="J905" s="10">
        <v>6597.51</v>
      </c>
      <c r="K905" s="10">
        <v>19800.46</v>
      </c>
      <c r="L905" s="10">
        <v>112052238.90000001</v>
      </c>
      <c r="M905" s="10">
        <v>112073678.2</v>
      </c>
      <c r="N905" s="10">
        <v>38834.160000000003</v>
      </c>
      <c r="O905" s="10">
        <v>112061382.5</v>
      </c>
      <c r="P905" s="10">
        <v>112046631.3</v>
      </c>
      <c r="Q905" s="10">
        <v>14751.14</v>
      </c>
      <c r="R905" s="10">
        <v>15547031.83</v>
      </c>
      <c r="S905" s="10">
        <v>-3519659.69</v>
      </c>
      <c r="T905" s="10">
        <v>109146.99</v>
      </c>
      <c r="U905" s="10">
        <v>26933.67</v>
      </c>
      <c r="V905" s="10">
        <v>5692.78</v>
      </c>
      <c r="W905" s="10">
        <v>3450.77</v>
      </c>
      <c r="X905" s="10">
        <v>2590.6</v>
      </c>
      <c r="Y905" s="9">
        <v>3647247</v>
      </c>
    </row>
    <row r="906" spans="1:25" ht="16.05" customHeight="1" x14ac:dyDescent="0.3">
      <c r="A906" s="2">
        <v>350</v>
      </c>
      <c r="B906" s="2">
        <v>5</v>
      </c>
      <c r="C906" s="2">
        <v>2024</v>
      </c>
      <c r="D906" s="3" t="s">
        <v>29</v>
      </c>
      <c r="E906" s="4">
        <v>398</v>
      </c>
      <c r="F906" s="5">
        <v>12919690.48</v>
      </c>
      <c r="G906" s="5">
        <v>3176951.89</v>
      </c>
      <c r="H906" s="6">
        <v>24.59</v>
      </c>
      <c r="I906" s="6">
        <v>12.64</v>
      </c>
      <c r="J906" s="5">
        <v>6334.12</v>
      </c>
      <c r="K906" s="5">
        <v>7229.17</v>
      </c>
      <c r="L906" s="5">
        <v>12866466.779999999</v>
      </c>
      <c r="M906" s="5">
        <v>12905587.210000001</v>
      </c>
      <c r="N906" s="5">
        <v>53223.7</v>
      </c>
      <c r="O906" s="5">
        <v>12875867.33</v>
      </c>
      <c r="P906" s="5">
        <v>12866208.85</v>
      </c>
      <c r="Q906" s="5">
        <v>9658.48</v>
      </c>
      <c r="R906" s="5">
        <v>1633048.88</v>
      </c>
      <c r="S906" s="5">
        <v>1543903.01</v>
      </c>
      <c r="T906" s="5">
        <v>100296.93</v>
      </c>
      <c r="U906" s="5">
        <v>47800.71</v>
      </c>
      <c r="V906" s="5">
        <v>1694.44</v>
      </c>
      <c r="W906" s="5">
        <v>7706.11</v>
      </c>
      <c r="X906" s="5">
        <v>3924.34</v>
      </c>
      <c r="Y906" s="4">
        <v>2247233</v>
      </c>
    </row>
    <row r="907" spans="1:25" ht="16.05" customHeight="1" x14ac:dyDescent="0.3">
      <c r="A907" s="7">
        <v>420</v>
      </c>
      <c r="B907" s="7">
        <v>6</v>
      </c>
      <c r="C907" s="7">
        <v>2024</v>
      </c>
      <c r="D907" s="8" t="s">
        <v>29</v>
      </c>
      <c r="E907" s="9">
        <v>330</v>
      </c>
      <c r="F907" s="10">
        <v>21963498.059999999</v>
      </c>
      <c r="G907" s="10">
        <v>5840094.1299999999</v>
      </c>
      <c r="H907" s="11">
        <v>26.59</v>
      </c>
      <c r="I907" s="11">
        <v>6.34</v>
      </c>
      <c r="J907" s="10">
        <v>1502.58</v>
      </c>
      <c r="K907" s="10">
        <v>17551.63</v>
      </c>
      <c r="L907" s="10">
        <v>21873518.399999999</v>
      </c>
      <c r="M907" s="10">
        <v>21938597.859999999</v>
      </c>
      <c r="N907" s="10">
        <v>89979.66</v>
      </c>
      <c r="O907" s="10">
        <v>21892039.91</v>
      </c>
      <c r="P907" s="10">
        <v>21883750.93</v>
      </c>
      <c r="Q907" s="10">
        <v>8288.98</v>
      </c>
      <c r="R907" s="10">
        <v>1392485.78</v>
      </c>
      <c r="S907" s="10">
        <v>4447608.3600000003</v>
      </c>
      <c r="T907" s="10">
        <v>98624.05</v>
      </c>
      <c r="U907" s="10">
        <v>32654.95</v>
      </c>
      <c r="V907" s="10">
        <v>10986.85</v>
      </c>
      <c r="W907" s="10">
        <v>7534.66</v>
      </c>
      <c r="X907" s="10">
        <v>3396.12</v>
      </c>
      <c r="Y907" s="9">
        <v>2086975</v>
      </c>
    </row>
    <row r="908" spans="1:25" ht="16.05" customHeight="1" x14ac:dyDescent="0.3">
      <c r="A908" s="2">
        <v>490</v>
      </c>
      <c r="B908" s="2">
        <v>7</v>
      </c>
      <c r="C908" s="2">
        <v>2024</v>
      </c>
      <c r="D908" s="3" t="s">
        <v>29</v>
      </c>
      <c r="E908" s="4">
        <v>6002</v>
      </c>
      <c r="F908" s="5">
        <v>153220097.69999999</v>
      </c>
      <c r="G908" s="5">
        <v>30291613.32</v>
      </c>
      <c r="H908" s="6">
        <v>19.77</v>
      </c>
      <c r="I908" s="6">
        <v>19.48</v>
      </c>
      <c r="J908" s="5">
        <v>3391.85</v>
      </c>
      <c r="K908" s="5">
        <v>5591.97</v>
      </c>
      <c r="L908" s="5">
        <v>153122116.59999999</v>
      </c>
      <c r="M908" s="5">
        <v>153197805.59999999</v>
      </c>
      <c r="N908" s="5">
        <v>97981.15</v>
      </c>
      <c r="O908" s="5">
        <v>153131509.59999999</v>
      </c>
      <c r="P908" s="5">
        <v>153119102.19999999</v>
      </c>
      <c r="Q908" s="5">
        <v>12407.41</v>
      </c>
      <c r="R908" s="5">
        <v>29847275.030000001</v>
      </c>
      <c r="S908" s="5">
        <v>444338.28</v>
      </c>
      <c r="T908" s="5">
        <v>118168.71</v>
      </c>
      <c r="U908" s="5">
        <v>15854.88</v>
      </c>
      <c r="V908" s="5">
        <v>6851.71</v>
      </c>
      <c r="W908" s="5">
        <v>2541.33</v>
      </c>
      <c r="X908" s="5">
        <v>1306.53</v>
      </c>
      <c r="Y908" s="4">
        <v>3320680</v>
      </c>
    </row>
    <row r="909" spans="1:25" ht="16.05" customHeight="1" x14ac:dyDescent="0.3">
      <c r="A909" s="7">
        <v>560</v>
      </c>
      <c r="B909" s="7">
        <v>8</v>
      </c>
      <c r="C909" s="7">
        <v>2024</v>
      </c>
      <c r="D909" s="8" t="s">
        <v>29</v>
      </c>
      <c r="E909" s="9">
        <v>5848</v>
      </c>
      <c r="F909" s="10">
        <v>123653654.5</v>
      </c>
      <c r="G909" s="10">
        <v>23160329.48</v>
      </c>
      <c r="H909" s="11">
        <v>18.73</v>
      </c>
      <c r="I909" s="11">
        <v>18.71</v>
      </c>
      <c r="J909" s="10">
        <v>3068.21</v>
      </c>
      <c r="K909" s="10">
        <v>10980.76</v>
      </c>
      <c r="L909" s="10">
        <v>123564037.2</v>
      </c>
      <c r="M909" s="10">
        <v>123632188.2</v>
      </c>
      <c r="N909" s="10">
        <v>89617.23</v>
      </c>
      <c r="O909" s="10">
        <v>123575522.3</v>
      </c>
      <c r="P909" s="10">
        <v>123563681.90000001</v>
      </c>
      <c r="Q909" s="10">
        <v>11840.36</v>
      </c>
      <c r="R909" s="10">
        <v>23135598.75</v>
      </c>
      <c r="S909" s="10">
        <v>24730.73</v>
      </c>
      <c r="T909" s="10">
        <v>27017.14</v>
      </c>
      <c r="U909" s="10">
        <v>20697.88</v>
      </c>
      <c r="V909" s="10">
        <v>6863.41</v>
      </c>
      <c r="W909" s="10">
        <v>4621.66</v>
      </c>
      <c r="X909" s="10">
        <v>4001.23</v>
      </c>
      <c r="Y909" s="9">
        <v>3105553</v>
      </c>
    </row>
    <row r="910" spans="1:25" ht="16.05" customHeight="1" x14ac:dyDescent="0.3">
      <c r="A910" s="2">
        <v>630</v>
      </c>
      <c r="B910" s="2">
        <v>9</v>
      </c>
      <c r="C910" s="2">
        <v>2024</v>
      </c>
      <c r="D910" s="3" t="s">
        <v>29</v>
      </c>
      <c r="E910" s="4">
        <v>2028</v>
      </c>
      <c r="F910" s="5">
        <v>33405990.02</v>
      </c>
      <c r="G910" s="5">
        <v>8882652.75</v>
      </c>
      <c r="H910" s="6">
        <v>26.59</v>
      </c>
      <c r="I910" s="6">
        <v>7.85</v>
      </c>
      <c r="J910" s="5">
        <v>9348.81</v>
      </c>
      <c r="K910" s="5">
        <v>19879.080000000002</v>
      </c>
      <c r="L910" s="5">
        <v>33377182.039999999</v>
      </c>
      <c r="M910" s="5">
        <v>33390717.030000001</v>
      </c>
      <c r="N910" s="5">
        <v>28807.98</v>
      </c>
      <c r="O910" s="5">
        <v>33393824.600000001</v>
      </c>
      <c r="P910" s="5">
        <v>33381103.530000001</v>
      </c>
      <c r="Q910" s="5">
        <v>12721.07</v>
      </c>
      <c r="R910" s="5">
        <v>2622370.2200000002</v>
      </c>
      <c r="S910" s="5">
        <v>6260282.5300000003</v>
      </c>
      <c r="T910" s="5">
        <v>72205.67</v>
      </c>
      <c r="U910" s="5">
        <v>11447.34</v>
      </c>
      <c r="V910" s="5">
        <v>9129.51</v>
      </c>
      <c r="W910" s="5">
        <v>7513.05</v>
      </c>
      <c r="X910" s="5">
        <v>1985.72</v>
      </c>
      <c r="Y910" s="4">
        <v>4602240</v>
      </c>
    </row>
    <row r="911" spans="1:25" ht="16.05" customHeight="1" x14ac:dyDescent="0.3">
      <c r="A911" s="7">
        <v>700</v>
      </c>
      <c r="B911" s="7">
        <v>10</v>
      </c>
      <c r="C911" s="7">
        <v>2024</v>
      </c>
      <c r="D911" s="8" t="s">
        <v>29</v>
      </c>
      <c r="E911" s="9">
        <v>3899</v>
      </c>
      <c r="F911" s="10">
        <v>227014432.59999999</v>
      </c>
      <c r="G911" s="10">
        <v>37321172.719999999</v>
      </c>
      <c r="H911" s="11">
        <v>16.440000000000001</v>
      </c>
      <c r="I911" s="11">
        <v>16.98</v>
      </c>
      <c r="J911" s="10">
        <v>3124.48</v>
      </c>
      <c r="K911" s="10">
        <v>4945.43</v>
      </c>
      <c r="L911" s="10">
        <v>226926035.40000001</v>
      </c>
      <c r="M911" s="10">
        <v>226994474.90000001</v>
      </c>
      <c r="N911" s="10">
        <v>88397.21</v>
      </c>
      <c r="O911" s="10">
        <v>226941117.40000001</v>
      </c>
      <c r="P911" s="10">
        <v>226929852.09999999</v>
      </c>
      <c r="Q911" s="10">
        <v>11265.37</v>
      </c>
      <c r="R911" s="10">
        <v>38547050.649999999</v>
      </c>
      <c r="S911" s="10">
        <v>-1225877.94</v>
      </c>
      <c r="T911" s="10">
        <v>106838.77</v>
      </c>
      <c r="U911" s="10">
        <v>9949.5</v>
      </c>
      <c r="V911" s="10">
        <v>8526.7099999999991</v>
      </c>
      <c r="W911" s="10">
        <v>6555.35</v>
      </c>
      <c r="X911" s="10">
        <v>1248.8699999999999</v>
      </c>
      <c r="Y911" s="9">
        <v>4983954</v>
      </c>
    </row>
    <row r="912" spans="1:25" ht="16.05" customHeight="1" x14ac:dyDescent="0.3">
      <c r="A912" s="2">
        <v>770</v>
      </c>
      <c r="B912" s="2">
        <v>11</v>
      </c>
      <c r="C912" s="2">
        <v>2024</v>
      </c>
      <c r="D912" s="3" t="s">
        <v>29</v>
      </c>
      <c r="E912" s="4">
        <v>2896</v>
      </c>
      <c r="F912" s="5">
        <v>117090277.40000001</v>
      </c>
      <c r="G912" s="5">
        <v>26743419.350000001</v>
      </c>
      <c r="H912" s="6">
        <v>22.84</v>
      </c>
      <c r="I912" s="6">
        <v>18.07</v>
      </c>
      <c r="J912" s="5">
        <v>1247.8900000000001</v>
      </c>
      <c r="K912" s="5">
        <v>11948.55</v>
      </c>
      <c r="L912" s="5">
        <v>117079313.90000001</v>
      </c>
      <c r="M912" s="5">
        <v>117066840</v>
      </c>
      <c r="N912" s="5">
        <v>10963.5</v>
      </c>
      <c r="O912" s="5">
        <v>117091950.7</v>
      </c>
      <c r="P912" s="5">
        <v>117086472.7</v>
      </c>
      <c r="Q912" s="5">
        <v>5478.06</v>
      </c>
      <c r="R912" s="5">
        <v>21158213.120000001</v>
      </c>
      <c r="S912" s="5">
        <v>5585206.2300000004</v>
      </c>
      <c r="T912" s="5">
        <v>72353.41</v>
      </c>
      <c r="U912" s="5">
        <v>58073.07</v>
      </c>
      <c r="V912" s="5">
        <v>9322.39</v>
      </c>
      <c r="W912" s="5">
        <v>3314.47</v>
      </c>
      <c r="X912" s="5">
        <v>1158.8800000000001</v>
      </c>
      <c r="Y912" s="4">
        <v>2505246</v>
      </c>
    </row>
    <row r="913" spans="1:25" ht="16.05" customHeight="1" x14ac:dyDescent="0.3">
      <c r="A913" s="7">
        <v>840</v>
      </c>
      <c r="B913" s="7">
        <v>12</v>
      </c>
      <c r="C913" s="7">
        <v>2024</v>
      </c>
      <c r="D913" s="8" t="s">
        <v>29</v>
      </c>
      <c r="E913" s="9">
        <v>1879</v>
      </c>
      <c r="F913" s="10">
        <v>122318709.7</v>
      </c>
      <c r="G913" s="10">
        <v>21222296.140000001</v>
      </c>
      <c r="H913" s="11">
        <v>17.350000000000001</v>
      </c>
      <c r="I913" s="11">
        <v>12.36</v>
      </c>
      <c r="J913" s="10">
        <v>12738.27</v>
      </c>
      <c r="K913" s="10">
        <v>13193.66</v>
      </c>
      <c r="L913" s="10">
        <v>122248627.90000001</v>
      </c>
      <c r="M913" s="10">
        <v>122309438</v>
      </c>
      <c r="N913" s="10">
        <v>70081.820000000007</v>
      </c>
      <c r="O913" s="10">
        <v>122256498</v>
      </c>
      <c r="P913" s="10">
        <v>122244969</v>
      </c>
      <c r="Q913" s="10">
        <v>11529</v>
      </c>
      <c r="R913" s="10">
        <v>15118592.52</v>
      </c>
      <c r="S913" s="10">
        <v>6103703.6200000001</v>
      </c>
      <c r="T913" s="10">
        <v>63897.93</v>
      </c>
      <c r="U913" s="10">
        <v>48443.55</v>
      </c>
      <c r="V913" s="10">
        <v>6885.71</v>
      </c>
      <c r="W913" s="10">
        <v>984.4</v>
      </c>
      <c r="X913" s="10">
        <v>3425.79</v>
      </c>
      <c r="Y913" s="9">
        <v>2265413</v>
      </c>
    </row>
    <row r="914" spans="1:25" ht="16.05" customHeight="1" x14ac:dyDescent="0.3">
      <c r="A914" s="2">
        <v>910</v>
      </c>
      <c r="B914" s="2">
        <v>13</v>
      </c>
      <c r="C914" s="2">
        <v>2024</v>
      </c>
      <c r="D914" s="3" t="s">
        <v>29</v>
      </c>
      <c r="E914" s="4">
        <v>1654</v>
      </c>
      <c r="F914" s="5">
        <v>80647476.849999994</v>
      </c>
      <c r="G914" s="5">
        <v>4225927.79</v>
      </c>
      <c r="H914" s="6">
        <v>5.24</v>
      </c>
      <c r="I914" s="6">
        <v>5.48</v>
      </c>
      <c r="J914" s="5">
        <v>14221.73</v>
      </c>
      <c r="K914" s="5">
        <v>17835.91</v>
      </c>
      <c r="L914" s="5">
        <v>80590627.829999998</v>
      </c>
      <c r="M914" s="5">
        <v>80633827.189999998</v>
      </c>
      <c r="N914" s="5">
        <v>56849.02</v>
      </c>
      <c r="O914" s="5">
        <v>80602214.200000003</v>
      </c>
      <c r="P914" s="5">
        <v>80598536.159999996</v>
      </c>
      <c r="Q914" s="5">
        <v>3678.04</v>
      </c>
      <c r="R914" s="5">
        <v>4419481.7300000004</v>
      </c>
      <c r="S914" s="5">
        <v>-193553.94</v>
      </c>
      <c r="T914" s="5">
        <v>103335.19</v>
      </c>
      <c r="U914" s="5">
        <v>29571.33</v>
      </c>
      <c r="V914" s="5">
        <v>10472.959999999999</v>
      </c>
      <c r="W914" s="5">
        <v>1113.4100000000001</v>
      </c>
      <c r="X914" s="5">
        <v>2515.94</v>
      </c>
      <c r="Y914" s="4">
        <v>1769193</v>
      </c>
    </row>
    <row r="915" spans="1:25" ht="16.05" customHeight="1" x14ac:dyDescent="0.3">
      <c r="A915" s="7">
        <v>980</v>
      </c>
      <c r="B915" s="7">
        <v>14</v>
      </c>
      <c r="C915" s="7">
        <v>2024</v>
      </c>
      <c r="D915" s="8" t="s">
        <v>29</v>
      </c>
      <c r="E915" s="9">
        <v>2221</v>
      </c>
      <c r="F915" s="10">
        <v>22348191.719999999</v>
      </c>
      <c r="G915" s="10">
        <v>4085249.45</v>
      </c>
      <c r="H915" s="11">
        <v>18.28</v>
      </c>
      <c r="I915" s="11">
        <v>6.56</v>
      </c>
      <c r="J915" s="10">
        <v>6429.69</v>
      </c>
      <c r="K915" s="10">
        <v>4633.7700000000004</v>
      </c>
      <c r="L915" s="10">
        <v>22260145.27</v>
      </c>
      <c r="M915" s="10">
        <v>22328748.789999999</v>
      </c>
      <c r="N915" s="10">
        <v>88046.45</v>
      </c>
      <c r="O915" s="10">
        <v>22270731.949999999</v>
      </c>
      <c r="P915" s="10">
        <v>22264471.199999999</v>
      </c>
      <c r="Q915" s="10">
        <v>6260.75</v>
      </c>
      <c r="R915" s="10">
        <v>1466041.38</v>
      </c>
      <c r="S915" s="10">
        <v>2619208.0699999998</v>
      </c>
      <c r="T915" s="10">
        <v>102997.33</v>
      </c>
      <c r="U915" s="10">
        <v>43485.53</v>
      </c>
      <c r="V915" s="10">
        <v>2685.66</v>
      </c>
      <c r="W915" s="10">
        <v>7901.02</v>
      </c>
      <c r="X915" s="10">
        <v>1922.9</v>
      </c>
      <c r="Y915" s="9">
        <v>2087055</v>
      </c>
    </row>
    <row r="916" spans="1:25" ht="16.05" customHeight="1" x14ac:dyDescent="0.3">
      <c r="A916" s="2">
        <v>1050</v>
      </c>
      <c r="B916" s="2">
        <v>15</v>
      </c>
      <c r="C916" s="2">
        <v>2024</v>
      </c>
      <c r="D916" s="3" t="s">
        <v>29</v>
      </c>
      <c r="E916" s="4">
        <v>6789</v>
      </c>
      <c r="F916" s="5">
        <v>295210888.80000001</v>
      </c>
      <c r="G916" s="5">
        <v>48739317.75</v>
      </c>
      <c r="H916" s="6">
        <v>16.510000000000002</v>
      </c>
      <c r="I916" s="6">
        <v>8.94</v>
      </c>
      <c r="J916" s="5">
        <v>4966.43</v>
      </c>
      <c r="K916" s="5">
        <v>19126.64</v>
      </c>
      <c r="L916" s="5">
        <v>295143371.10000002</v>
      </c>
      <c r="M916" s="5">
        <v>295201350.60000002</v>
      </c>
      <c r="N916" s="5">
        <v>67517.75</v>
      </c>
      <c r="O916" s="5">
        <v>295159093.89999998</v>
      </c>
      <c r="P916" s="5">
        <v>295156746.60000002</v>
      </c>
      <c r="Q916" s="5">
        <v>2347.29</v>
      </c>
      <c r="R916" s="5">
        <v>26391853.460000001</v>
      </c>
      <c r="S916" s="5">
        <v>22347464.289999999</v>
      </c>
      <c r="T916" s="5">
        <v>73366.7</v>
      </c>
      <c r="U916" s="5">
        <v>31528.42</v>
      </c>
      <c r="V916" s="5">
        <v>11136.74</v>
      </c>
      <c r="W916" s="5">
        <v>4586.0200000000004</v>
      </c>
      <c r="X916" s="5">
        <v>1519.63</v>
      </c>
      <c r="Y916" s="4">
        <v>3634879</v>
      </c>
    </row>
    <row r="917" spans="1:25" ht="16.05" customHeight="1" x14ac:dyDescent="0.3">
      <c r="A917" s="7">
        <v>1120</v>
      </c>
      <c r="B917" s="7">
        <v>16</v>
      </c>
      <c r="C917" s="7">
        <v>2024</v>
      </c>
      <c r="D917" s="8" t="s">
        <v>29</v>
      </c>
      <c r="E917" s="9">
        <v>5760</v>
      </c>
      <c r="F917" s="10">
        <v>363166679</v>
      </c>
      <c r="G917" s="10">
        <v>18376233.960000001</v>
      </c>
      <c r="H917" s="11">
        <v>5.0599999999999996</v>
      </c>
      <c r="I917" s="11">
        <v>15.34</v>
      </c>
      <c r="J917" s="10">
        <v>5945.48</v>
      </c>
      <c r="K917" s="10">
        <v>5021.29</v>
      </c>
      <c r="L917" s="10">
        <v>363094434.69999999</v>
      </c>
      <c r="M917" s="10">
        <v>363152454.69999999</v>
      </c>
      <c r="N917" s="10">
        <v>72244.36</v>
      </c>
      <c r="O917" s="10">
        <v>363099456.19999999</v>
      </c>
      <c r="P917" s="10">
        <v>363093302.80000001</v>
      </c>
      <c r="Q917" s="10">
        <v>6153.4</v>
      </c>
      <c r="R917" s="10">
        <v>55709768.560000002</v>
      </c>
      <c r="S917" s="10">
        <v>-37333534.600000001</v>
      </c>
      <c r="T917" s="10">
        <v>82298.92</v>
      </c>
      <c r="U917" s="10">
        <v>43645.56</v>
      </c>
      <c r="V917" s="10">
        <v>1953.08</v>
      </c>
      <c r="W917" s="10">
        <v>3068.41</v>
      </c>
      <c r="X917" s="10">
        <v>3020.96</v>
      </c>
      <c r="Y917" s="9">
        <v>4675636</v>
      </c>
    </row>
    <row r="918" spans="1:25" ht="16.05" customHeight="1" x14ac:dyDescent="0.3">
      <c r="A918" s="2">
        <v>1190</v>
      </c>
      <c r="B918" s="2">
        <v>17</v>
      </c>
      <c r="C918" s="2">
        <v>2024</v>
      </c>
      <c r="D918" s="3" t="s">
        <v>29</v>
      </c>
      <c r="E918" s="4">
        <v>6348</v>
      </c>
      <c r="F918" s="5">
        <v>372535615.69999999</v>
      </c>
      <c r="G918" s="5">
        <v>106135396.90000001</v>
      </c>
      <c r="H918" s="6">
        <v>28.49</v>
      </c>
      <c r="I918" s="6">
        <v>12.91</v>
      </c>
      <c r="J918" s="5">
        <v>8671.91</v>
      </c>
      <c r="K918" s="5">
        <v>2796.1</v>
      </c>
      <c r="L918" s="5">
        <v>372515418.19999999</v>
      </c>
      <c r="M918" s="5">
        <v>372525664.30000001</v>
      </c>
      <c r="N918" s="5">
        <v>20197.54</v>
      </c>
      <c r="O918" s="5">
        <v>372526054.39999998</v>
      </c>
      <c r="P918" s="5">
        <v>372520966.80000001</v>
      </c>
      <c r="Q918" s="5">
        <v>5087.58</v>
      </c>
      <c r="R918" s="5">
        <v>48094347.990000002</v>
      </c>
      <c r="S918" s="5">
        <v>58041048.93</v>
      </c>
      <c r="T918" s="5">
        <v>64494.55</v>
      </c>
      <c r="U918" s="5">
        <v>12797.29</v>
      </c>
      <c r="V918" s="5">
        <v>8678.68</v>
      </c>
      <c r="W918" s="5">
        <v>1957.58</v>
      </c>
      <c r="X918" s="5">
        <v>2064.02</v>
      </c>
      <c r="Y918" s="4">
        <v>2116833</v>
      </c>
    </row>
    <row r="919" spans="1:25" ht="16.05" customHeight="1" x14ac:dyDescent="0.3">
      <c r="A919" s="7">
        <v>1260</v>
      </c>
      <c r="B919" s="7">
        <v>18</v>
      </c>
      <c r="C919" s="7">
        <v>2024</v>
      </c>
      <c r="D919" s="8" t="s">
        <v>29</v>
      </c>
      <c r="E919" s="9">
        <v>4005</v>
      </c>
      <c r="F919" s="10">
        <v>92499845.920000002</v>
      </c>
      <c r="G919" s="10">
        <v>12727978.800000001</v>
      </c>
      <c r="H919" s="11">
        <v>13.76</v>
      </c>
      <c r="I919" s="11">
        <v>6.27</v>
      </c>
      <c r="J919" s="10">
        <v>3720.2</v>
      </c>
      <c r="K919" s="10">
        <v>9554.4</v>
      </c>
      <c r="L919" s="10">
        <v>92420770.25</v>
      </c>
      <c r="M919" s="10">
        <v>92482579.590000004</v>
      </c>
      <c r="N919" s="10">
        <v>79075.67</v>
      </c>
      <c r="O919" s="10">
        <v>92425833.849999994</v>
      </c>
      <c r="P919" s="10">
        <v>92416108.079999998</v>
      </c>
      <c r="Q919" s="10">
        <v>9725.77</v>
      </c>
      <c r="R919" s="10">
        <v>5799740.3399999999</v>
      </c>
      <c r="S919" s="10">
        <v>6928238.46</v>
      </c>
      <c r="T919" s="10">
        <v>93689.54</v>
      </c>
      <c r="U919" s="10">
        <v>52179.69</v>
      </c>
      <c r="V919" s="10">
        <v>1103.8800000000001</v>
      </c>
      <c r="W919" s="10">
        <v>3959.72</v>
      </c>
      <c r="X919" s="10">
        <v>2038.3</v>
      </c>
      <c r="Y919" s="9">
        <v>4009516</v>
      </c>
    </row>
    <row r="920" spans="1:25" ht="16.05" customHeight="1" x14ac:dyDescent="0.3">
      <c r="A920" s="2">
        <v>1330</v>
      </c>
      <c r="B920" s="2">
        <v>19</v>
      </c>
      <c r="C920" s="2">
        <v>2024</v>
      </c>
      <c r="D920" s="3" t="s">
        <v>29</v>
      </c>
      <c r="E920" s="4">
        <v>2790</v>
      </c>
      <c r="F920" s="5">
        <v>169243225.5</v>
      </c>
      <c r="G920" s="5">
        <v>30328386.010000002</v>
      </c>
      <c r="H920" s="6">
        <v>17.920000000000002</v>
      </c>
      <c r="I920" s="6">
        <v>17.34</v>
      </c>
      <c r="J920" s="5">
        <v>10347.68</v>
      </c>
      <c r="K920" s="5">
        <v>3858.86</v>
      </c>
      <c r="L920" s="5">
        <v>169194350.30000001</v>
      </c>
      <c r="M920" s="5">
        <v>169223010.90000001</v>
      </c>
      <c r="N920" s="5">
        <v>48875.14</v>
      </c>
      <c r="O920" s="5">
        <v>169204550.40000001</v>
      </c>
      <c r="P920" s="5">
        <v>169190471.30000001</v>
      </c>
      <c r="Q920" s="5">
        <v>14079.07</v>
      </c>
      <c r="R920" s="5">
        <v>29346775.300000001</v>
      </c>
      <c r="S920" s="5">
        <v>981610.71</v>
      </c>
      <c r="T920" s="5">
        <v>90397.33</v>
      </c>
      <c r="U920" s="5">
        <v>56874.14</v>
      </c>
      <c r="V920" s="5">
        <v>6519.11</v>
      </c>
      <c r="W920" s="5">
        <v>3680.95</v>
      </c>
      <c r="X920" s="5">
        <v>4383.57</v>
      </c>
      <c r="Y920" s="4">
        <v>3004387</v>
      </c>
    </row>
    <row r="921" spans="1:25" ht="16.05" customHeight="1" x14ac:dyDescent="0.3">
      <c r="A921" s="7">
        <v>1400</v>
      </c>
      <c r="B921" s="7">
        <v>20</v>
      </c>
      <c r="C921" s="7">
        <v>2024</v>
      </c>
      <c r="D921" s="8" t="s">
        <v>29</v>
      </c>
      <c r="E921" s="9">
        <v>6664</v>
      </c>
      <c r="F921" s="10">
        <v>205617275.09999999</v>
      </c>
      <c r="G921" s="10">
        <v>27449906.219999999</v>
      </c>
      <c r="H921" s="11">
        <v>13.35</v>
      </c>
      <c r="I921" s="11">
        <v>11.73</v>
      </c>
      <c r="J921" s="10">
        <v>8398.4</v>
      </c>
      <c r="K921" s="10">
        <v>18273</v>
      </c>
      <c r="L921" s="10">
        <v>205585322.69999999</v>
      </c>
      <c r="M921" s="10">
        <v>205605625.59999999</v>
      </c>
      <c r="N921" s="10">
        <v>31952.33</v>
      </c>
      <c r="O921" s="10">
        <v>205598999.59999999</v>
      </c>
      <c r="P921" s="10">
        <v>205590381.19999999</v>
      </c>
      <c r="Q921" s="10">
        <v>8618.43</v>
      </c>
      <c r="R921" s="10">
        <v>24118906.359999999</v>
      </c>
      <c r="S921" s="10">
        <v>3330999.86</v>
      </c>
      <c r="T921" s="10">
        <v>53546.92</v>
      </c>
      <c r="U921" s="10">
        <v>38766.559999999998</v>
      </c>
      <c r="V921" s="10">
        <v>11472.39</v>
      </c>
      <c r="W921" s="10">
        <v>2204.5</v>
      </c>
      <c r="X921" s="10">
        <v>1572.33</v>
      </c>
      <c r="Y921" s="9">
        <v>2013419</v>
      </c>
    </row>
    <row r="922" spans="1:25" ht="16.05" customHeight="1" x14ac:dyDescent="0.3">
      <c r="A922" s="2">
        <v>1470</v>
      </c>
      <c r="B922" s="2">
        <v>21</v>
      </c>
      <c r="C922" s="2">
        <v>2024</v>
      </c>
      <c r="D922" s="3" t="s">
        <v>29</v>
      </c>
      <c r="E922" s="4">
        <v>1113</v>
      </c>
      <c r="F922" s="5">
        <v>71523106.730000004</v>
      </c>
      <c r="G922" s="5">
        <v>9283699.25</v>
      </c>
      <c r="H922" s="6">
        <v>12.98</v>
      </c>
      <c r="I922" s="6">
        <v>9.5500000000000007</v>
      </c>
      <c r="J922" s="5">
        <v>13564.82</v>
      </c>
      <c r="K922" s="5">
        <v>5962.67</v>
      </c>
      <c r="L922" s="5">
        <v>71476675.480000004</v>
      </c>
      <c r="M922" s="5">
        <v>71514264.519999996</v>
      </c>
      <c r="N922" s="5">
        <v>46431.25</v>
      </c>
      <c r="O922" s="5">
        <v>71487216.530000001</v>
      </c>
      <c r="P922" s="5">
        <v>71481784.260000005</v>
      </c>
      <c r="Q922" s="5">
        <v>5432.27</v>
      </c>
      <c r="R922" s="5">
        <v>6830456.6900000004</v>
      </c>
      <c r="S922" s="5">
        <v>2453242.56</v>
      </c>
      <c r="T922" s="5">
        <v>86738.11</v>
      </c>
      <c r="U922" s="5">
        <v>17453.25</v>
      </c>
      <c r="V922" s="5">
        <v>7250.65</v>
      </c>
      <c r="W922" s="5">
        <v>3290.4</v>
      </c>
      <c r="X922" s="5">
        <v>1255</v>
      </c>
      <c r="Y922" s="4">
        <v>3872418</v>
      </c>
    </row>
    <row r="923" spans="1:25" ht="16.05" customHeight="1" x14ac:dyDescent="0.3">
      <c r="A923" s="7">
        <v>1540</v>
      </c>
      <c r="B923" s="7">
        <v>22</v>
      </c>
      <c r="C923" s="7">
        <v>2024</v>
      </c>
      <c r="D923" s="8" t="s">
        <v>29</v>
      </c>
      <c r="E923" s="9">
        <v>6010</v>
      </c>
      <c r="F923" s="10">
        <v>182889865.40000001</v>
      </c>
      <c r="G923" s="10">
        <v>45777333.299999997</v>
      </c>
      <c r="H923" s="11">
        <v>25.03</v>
      </c>
      <c r="I923" s="11">
        <v>8.1199999999999992</v>
      </c>
      <c r="J923" s="10">
        <v>6347.68</v>
      </c>
      <c r="K923" s="10">
        <v>16536.95</v>
      </c>
      <c r="L923" s="10">
        <v>182861127</v>
      </c>
      <c r="M923" s="10">
        <v>182865458.80000001</v>
      </c>
      <c r="N923" s="10">
        <v>28738.400000000001</v>
      </c>
      <c r="O923" s="10">
        <v>182873901.59999999</v>
      </c>
      <c r="P923" s="10">
        <v>182862767</v>
      </c>
      <c r="Q923" s="10">
        <v>11134.63</v>
      </c>
      <c r="R923" s="10">
        <v>14850657.07</v>
      </c>
      <c r="S923" s="10">
        <v>30926676.239999998</v>
      </c>
      <c r="T923" s="10">
        <v>31185.17</v>
      </c>
      <c r="U923" s="10">
        <v>6863</v>
      </c>
      <c r="V923" s="10">
        <v>10354.799999999999</v>
      </c>
      <c r="W923" s="10">
        <v>2419.83</v>
      </c>
      <c r="X923" s="10">
        <v>1074.17</v>
      </c>
      <c r="Y923" s="9">
        <v>4922213</v>
      </c>
    </row>
    <row r="924" spans="1:25" ht="16.05" customHeight="1" x14ac:dyDescent="0.3">
      <c r="A924" s="2">
        <v>1610</v>
      </c>
      <c r="B924" s="2">
        <v>23</v>
      </c>
      <c r="C924" s="2">
        <v>2024</v>
      </c>
      <c r="D924" s="3" t="s">
        <v>29</v>
      </c>
      <c r="E924" s="4">
        <v>5465</v>
      </c>
      <c r="F924" s="5">
        <v>362375118.5</v>
      </c>
      <c r="G924" s="5">
        <v>25728633.41</v>
      </c>
      <c r="H924" s="6">
        <v>7.1</v>
      </c>
      <c r="I924" s="6">
        <v>8.19</v>
      </c>
      <c r="J924" s="5">
        <v>9565.19</v>
      </c>
      <c r="K924" s="5">
        <v>15686.82</v>
      </c>
      <c r="L924" s="5">
        <v>362305500.19999999</v>
      </c>
      <c r="M924" s="5">
        <v>362358576.69999999</v>
      </c>
      <c r="N924" s="5">
        <v>69618.34</v>
      </c>
      <c r="O924" s="5">
        <v>362315382.69999999</v>
      </c>
      <c r="P924" s="5">
        <v>362312236.30000001</v>
      </c>
      <c r="Q924" s="5">
        <v>3146.44</v>
      </c>
      <c r="R924" s="5">
        <v>29678522.210000001</v>
      </c>
      <c r="S924" s="5">
        <v>-3949888.79</v>
      </c>
      <c r="T924" s="5">
        <v>10649.62</v>
      </c>
      <c r="U924" s="5">
        <v>55663.29</v>
      </c>
      <c r="V924" s="5">
        <v>4933.91</v>
      </c>
      <c r="W924" s="5">
        <v>4948.6499999999996</v>
      </c>
      <c r="X924" s="5">
        <v>3733.74</v>
      </c>
      <c r="Y924" s="4">
        <v>4320386</v>
      </c>
    </row>
    <row r="925" spans="1:25" ht="16.05" customHeight="1" x14ac:dyDescent="0.3">
      <c r="A925" s="7">
        <v>1680</v>
      </c>
      <c r="B925" s="7">
        <v>24</v>
      </c>
      <c r="C925" s="7">
        <v>2024</v>
      </c>
      <c r="D925" s="8" t="s">
        <v>29</v>
      </c>
      <c r="E925" s="9">
        <v>2386</v>
      </c>
      <c r="F925" s="10">
        <v>25441181.780000001</v>
      </c>
      <c r="G925" s="10">
        <v>6222913.0599999996</v>
      </c>
      <c r="H925" s="11">
        <v>24.46</v>
      </c>
      <c r="I925" s="11">
        <v>12.45</v>
      </c>
      <c r="J925" s="10">
        <v>11039.99</v>
      </c>
      <c r="K925" s="10">
        <v>4270.92</v>
      </c>
      <c r="L925" s="10">
        <v>25408496.079999998</v>
      </c>
      <c r="M925" s="10">
        <v>25421550.649999999</v>
      </c>
      <c r="N925" s="10">
        <v>32685.7</v>
      </c>
      <c r="O925" s="10">
        <v>25424424.48</v>
      </c>
      <c r="P925" s="10">
        <v>25421757.399999999</v>
      </c>
      <c r="Q925" s="10">
        <v>2667.08</v>
      </c>
      <c r="R925" s="10">
        <v>3167427.13</v>
      </c>
      <c r="S925" s="10">
        <v>3055485.93</v>
      </c>
      <c r="T925" s="10">
        <v>24150.23</v>
      </c>
      <c r="U925" s="10">
        <v>52099.76</v>
      </c>
      <c r="V925" s="10">
        <v>10932.79</v>
      </c>
      <c r="W925" s="10">
        <v>4995.6099999999997</v>
      </c>
      <c r="X925" s="10">
        <v>4335.8900000000003</v>
      </c>
      <c r="Y925" s="9">
        <v>2821293</v>
      </c>
    </row>
    <row r="926" spans="1:25" ht="16.05" customHeight="1" x14ac:dyDescent="0.3">
      <c r="A926" s="2">
        <v>1750</v>
      </c>
      <c r="B926" s="2">
        <v>25</v>
      </c>
      <c r="C926" s="2">
        <v>2024</v>
      </c>
      <c r="D926" s="3" t="s">
        <v>29</v>
      </c>
      <c r="E926" s="4">
        <v>1414</v>
      </c>
      <c r="F926" s="5">
        <v>19893909.449999999</v>
      </c>
      <c r="G926" s="5">
        <v>3073609.01</v>
      </c>
      <c r="H926" s="6">
        <v>15.45</v>
      </c>
      <c r="I926" s="6">
        <v>7.16</v>
      </c>
      <c r="J926" s="5">
        <v>9486.91</v>
      </c>
      <c r="K926" s="5">
        <v>15274.12</v>
      </c>
      <c r="L926" s="5">
        <v>19882541.390000001</v>
      </c>
      <c r="M926" s="5">
        <v>19883709.760000002</v>
      </c>
      <c r="N926" s="5">
        <v>11368.06</v>
      </c>
      <c r="O926" s="5">
        <v>19893776.949999999</v>
      </c>
      <c r="P926" s="5">
        <v>19890678</v>
      </c>
      <c r="Q926" s="5">
        <v>3098.95</v>
      </c>
      <c r="R926" s="5">
        <v>1424403.92</v>
      </c>
      <c r="S926" s="5">
        <v>1649205.09</v>
      </c>
      <c r="T926" s="5">
        <v>115103.74</v>
      </c>
      <c r="U926" s="5">
        <v>55306.42</v>
      </c>
      <c r="V926" s="5">
        <v>10172.08</v>
      </c>
      <c r="W926" s="5">
        <v>1063.48</v>
      </c>
      <c r="X926" s="5">
        <v>1517.64</v>
      </c>
      <c r="Y926" s="4">
        <v>1749358</v>
      </c>
    </row>
    <row r="927" spans="1:25" ht="16.05" customHeight="1" x14ac:dyDescent="0.3">
      <c r="A927" s="7">
        <v>1820</v>
      </c>
      <c r="B927" s="7">
        <v>26</v>
      </c>
      <c r="C927" s="7">
        <v>2024</v>
      </c>
      <c r="D927" s="8" t="s">
        <v>29</v>
      </c>
      <c r="E927" s="9">
        <v>4155</v>
      </c>
      <c r="F927" s="10">
        <v>107045212.3</v>
      </c>
      <c r="G927" s="10">
        <v>13316424.41</v>
      </c>
      <c r="H927" s="11">
        <v>12.44</v>
      </c>
      <c r="I927" s="11">
        <v>14.82</v>
      </c>
      <c r="J927" s="10">
        <v>7379.25</v>
      </c>
      <c r="K927" s="10">
        <v>9053.93</v>
      </c>
      <c r="L927" s="10">
        <v>107017972.7</v>
      </c>
      <c r="M927" s="10">
        <v>107036221.3</v>
      </c>
      <c r="N927" s="10">
        <v>27239.63</v>
      </c>
      <c r="O927" s="10">
        <v>107027739.5</v>
      </c>
      <c r="P927" s="10">
        <v>107017305.7</v>
      </c>
      <c r="Q927" s="10">
        <v>10433.81</v>
      </c>
      <c r="R927" s="10">
        <v>15864100.470000001</v>
      </c>
      <c r="S927" s="10">
        <v>-2547676.0499999998</v>
      </c>
      <c r="T927" s="10">
        <v>20292.71</v>
      </c>
      <c r="U927" s="10">
        <v>34424.300000000003</v>
      </c>
      <c r="V927" s="10">
        <v>7249.72</v>
      </c>
      <c r="W927" s="10">
        <v>2517.1</v>
      </c>
      <c r="X927" s="10">
        <v>3263.71</v>
      </c>
      <c r="Y927" s="9">
        <v>1353468</v>
      </c>
    </row>
    <row r="928" spans="1:25" ht="16.05" customHeight="1" x14ac:dyDescent="0.3">
      <c r="A928" s="2">
        <v>1890</v>
      </c>
      <c r="B928" s="2">
        <v>27</v>
      </c>
      <c r="C928" s="2">
        <v>2024</v>
      </c>
      <c r="D928" s="3" t="s">
        <v>29</v>
      </c>
      <c r="E928" s="4">
        <v>5445</v>
      </c>
      <c r="F928" s="5">
        <v>141928115.09999999</v>
      </c>
      <c r="G928" s="5">
        <v>38689604.170000002</v>
      </c>
      <c r="H928" s="6">
        <v>27.26</v>
      </c>
      <c r="I928" s="6">
        <v>13.44</v>
      </c>
      <c r="J928" s="5">
        <v>6030.35</v>
      </c>
      <c r="K928" s="5">
        <v>11211.56</v>
      </c>
      <c r="L928" s="5">
        <v>141879681.09999999</v>
      </c>
      <c r="M928" s="5">
        <v>141903616.59999999</v>
      </c>
      <c r="N928" s="5">
        <v>48433.99</v>
      </c>
      <c r="O928" s="5">
        <v>141896635.30000001</v>
      </c>
      <c r="P928" s="5">
        <v>141887753.69999999</v>
      </c>
      <c r="Q928" s="5">
        <v>8881.57</v>
      </c>
      <c r="R928" s="5">
        <v>19075138.670000002</v>
      </c>
      <c r="S928" s="5">
        <v>19614465.5</v>
      </c>
      <c r="T928" s="5">
        <v>102239.8</v>
      </c>
      <c r="U928" s="5">
        <v>53771.3</v>
      </c>
      <c r="V928" s="5">
        <v>9471.18</v>
      </c>
      <c r="W928" s="5">
        <v>7483.05</v>
      </c>
      <c r="X928" s="5">
        <v>1062.9000000000001</v>
      </c>
      <c r="Y928" s="4">
        <v>1412538</v>
      </c>
    </row>
    <row r="929" spans="1:25" ht="16.05" customHeight="1" x14ac:dyDescent="0.3">
      <c r="A929" s="7">
        <v>1960</v>
      </c>
      <c r="B929" s="7">
        <v>28</v>
      </c>
      <c r="C929" s="7">
        <v>2024</v>
      </c>
      <c r="D929" s="8" t="s">
        <v>29</v>
      </c>
      <c r="E929" s="9">
        <v>531</v>
      </c>
      <c r="F929" s="10">
        <v>22006378.27</v>
      </c>
      <c r="G929" s="10">
        <v>6080362.3200000003</v>
      </c>
      <c r="H929" s="11">
        <v>27.63</v>
      </c>
      <c r="I929" s="11">
        <v>5.21</v>
      </c>
      <c r="J929" s="10">
        <v>9903.25</v>
      </c>
      <c r="K929" s="10">
        <v>19078.72</v>
      </c>
      <c r="L929" s="10">
        <v>21967670.530000001</v>
      </c>
      <c r="M929" s="10">
        <v>22001517</v>
      </c>
      <c r="N929" s="10">
        <v>38707.74</v>
      </c>
      <c r="O929" s="10">
        <v>21973939.170000002</v>
      </c>
      <c r="P929" s="10">
        <v>21961732.620000001</v>
      </c>
      <c r="Q929" s="10">
        <v>12206.55</v>
      </c>
      <c r="R929" s="10">
        <v>1146532.31</v>
      </c>
      <c r="S929" s="10">
        <v>4933830.01</v>
      </c>
      <c r="T929" s="10">
        <v>93979.24</v>
      </c>
      <c r="U929" s="10">
        <v>48037.3</v>
      </c>
      <c r="V929" s="10">
        <v>3562.42</v>
      </c>
      <c r="W929" s="10">
        <v>2706.22</v>
      </c>
      <c r="X929" s="10">
        <v>2465.0100000000002</v>
      </c>
      <c r="Y929" s="9">
        <v>1398039</v>
      </c>
    </row>
    <row r="930" spans="1:25" ht="16.05" customHeight="1" x14ac:dyDescent="0.3">
      <c r="A930" s="2">
        <v>2030</v>
      </c>
      <c r="B930" s="2">
        <v>29</v>
      </c>
      <c r="C930" s="2">
        <v>2024</v>
      </c>
      <c r="D930" s="3" t="s">
        <v>29</v>
      </c>
      <c r="E930" s="4">
        <v>3709</v>
      </c>
      <c r="F930" s="5">
        <v>113418357.7</v>
      </c>
      <c r="G930" s="5">
        <v>7168040.2000000002</v>
      </c>
      <c r="H930" s="6">
        <v>6.32</v>
      </c>
      <c r="I930" s="6">
        <v>16.239999999999998</v>
      </c>
      <c r="J930" s="5">
        <v>2775.91</v>
      </c>
      <c r="K930" s="5">
        <v>12519.16</v>
      </c>
      <c r="L930" s="5">
        <v>113333550.7</v>
      </c>
      <c r="M930" s="5">
        <v>113412523.59999999</v>
      </c>
      <c r="N930" s="5">
        <v>84806.95</v>
      </c>
      <c r="O930" s="5">
        <v>113342103.59999999</v>
      </c>
      <c r="P930" s="5">
        <v>113330283.09999999</v>
      </c>
      <c r="Q930" s="5">
        <v>11820.49</v>
      </c>
      <c r="R930" s="5">
        <v>18419141.289999999</v>
      </c>
      <c r="S930" s="5">
        <v>-11251101.08</v>
      </c>
      <c r="T930" s="5">
        <v>33426.639999999999</v>
      </c>
      <c r="U930" s="5">
        <v>17470.34</v>
      </c>
      <c r="V930" s="5">
        <v>4824.7700000000004</v>
      </c>
      <c r="W930" s="5">
        <v>3728.08</v>
      </c>
      <c r="X930" s="5">
        <v>2693</v>
      </c>
      <c r="Y930" s="4">
        <v>2846189</v>
      </c>
    </row>
    <row r="931" spans="1:25" ht="16.05" customHeight="1" x14ac:dyDescent="0.3">
      <c r="A931" s="7">
        <v>2100</v>
      </c>
      <c r="B931" s="7">
        <v>30</v>
      </c>
      <c r="C931" s="7">
        <v>2024</v>
      </c>
      <c r="D931" s="8" t="s">
        <v>29</v>
      </c>
      <c r="E931" s="9">
        <v>1518</v>
      </c>
      <c r="F931" s="10">
        <v>57221080.560000002</v>
      </c>
      <c r="G931" s="10">
        <v>15958959.369999999</v>
      </c>
      <c r="H931" s="11">
        <v>27.89</v>
      </c>
      <c r="I931" s="11">
        <v>6.05</v>
      </c>
      <c r="J931" s="10">
        <v>11424.34</v>
      </c>
      <c r="K931" s="10">
        <v>5924.87</v>
      </c>
      <c r="L931" s="10">
        <v>57187602.490000002</v>
      </c>
      <c r="M931" s="10">
        <v>57199972.390000001</v>
      </c>
      <c r="N931" s="10">
        <v>33478.07</v>
      </c>
      <c r="O931" s="10">
        <v>57193248.299999997</v>
      </c>
      <c r="P931" s="10">
        <v>57182235.140000001</v>
      </c>
      <c r="Q931" s="10">
        <v>11013.16</v>
      </c>
      <c r="R931" s="10">
        <v>3461875.37</v>
      </c>
      <c r="S931" s="10">
        <v>12497083.99</v>
      </c>
      <c r="T931" s="10">
        <v>23186.33</v>
      </c>
      <c r="U931" s="10">
        <v>34318.51</v>
      </c>
      <c r="V931" s="10">
        <v>1928.67</v>
      </c>
      <c r="W931" s="10">
        <v>3717.14</v>
      </c>
      <c r="X931" s="10">
        <v>1285.6400000000001</v>
      </c>
      <c r="Y931" s="9">
        <v>4283611</v>
      </c>
    </row>
    <row r="932" spans="1:25" ht="16.05" customHeight="1" x14ac:dyDescent="0.3">
      <c r="A932" s="2">
        <v>2170</v>
      </c>
      <c r="B932" s="2">
        <v>31</v>
      </c>
      <c r="C932" s="2">
        <v>2024</v>
      </c>
      <c r="D932" s="3" t="s">
        <v>29</v>
      </c>
      <c r="E932" s="4">
        <v>3306</v>
      </c>
      <c r="F932" s="5">
        <v>31297193.52</v>
      </c>
      <c r="G932" s="5">
        <v>7044998.2599999998</v>
      </c>
      <c r="H932" s="6">
        <v>22.51</v>
      </c>
      <c r="I932" s="6">
        <v>9.76</v>
      </c>
      <c r="J932" s="5">
        <v>6247.9</v>
      </c>
      <c r="K932" s="5">
        <v>3567.26</v>
      </c>
      <c r="L932" s="5">
        <v>31274235.68</v>
      </c>
      <c r="M932" s="5">
        <v>31288617.260000002</v>
      </c>
      <c r="N932" s="5">
        <v>22957.84</v>
      </c>
      <c r="O932" s="5">
        <v>31278755.420000002</v>
      </c>
      <c r="P932" s="5">
        <v>31273414.280000001</v>
      </c>
      <c r="Q932" s="5">
        <v>5341.14</v>
      </c>
      <c r="R932" s="5">
        <v>3054606.09</v>
      </c>
      <c r="S932" s="5">
        <v>3990392.17</v>
      </c>
      <c r="T932" s="5">
        <v>99834.85</v>
      </c>
      <c r="U932" s="5">
        <v>20897.060000000001</v>
      </c>
      <c r="V932" s="5">
        <v>2107.54</v>
      </c>
      <c r="W932" s="5">
        <v>2412.1999999999998</v>
      </c>
      <c r="X932" s="5">
        <v>2086.84</v>
      </c>
      <c r="Y932" s="4">
        <v>2335218</v>
      </c>
    </row>
    <row r="933" spans="1:25" ht="16.05" customHeight="1" x14ac:dyDescent="0.3">
      <c r="A933" s="7">
        <v>2240</v>
      </c>
      <c r="B933" s="7">
        <v>32</v>
      </c>
      <c r="C933" s="7">
        <v>2024</v>
      </c>
      <c r="D933" s="8" t="s">
        <v>29</v>
      </c>
      <c r="E933" s="9">
        <v>135</v>
      </c>
      <c r="F933" s="10">
        <v>5561213.6399999997</v>
      </c>
      <c r="G933" s="10">
        <v>1376956.5</v>
      </c>
      <c r="H933" s="11">
        <v>24.76</v>
      </c>
      <c r="I933" s="11">
        <v>9.5399999999999991</v>
      </c>
      <c r="J933" s="10">
        <v>4813.4399999999996</v>
      </c>
      <c r="K933" s="10">
        <v>10370.9</v>
      </c>
      <c r="L933" s="10">
        <v>5523068.1600000001</v>
      </c>
      <c r="M933" s="10">
        <v>5550076.0999999996</v>
      </c>
      <c r="N933" s="10">
        <v>38145.480000000003</v>
      </c>
      <c r="O933" s="10">
        <v>5534198.6399999997</v>
      </c>
      <c r="P933" s="10">
        <v>5522852.4299999997</v>
      </c>
      <c r="Q933" s="10">
        <v>11346.21</v>
      </c>
      <c r="R933" s="10">
        <v>530539.78</v>
      </c>
      <c r="S933" s="10">
        <v>846416.72</v>
      </c>
      <c r="T933" s="10">
        <v>90273.600000000006</v>
      </c>
      <c r="U933" s="10">
        <v>48385.86</v>
      </c>
      <c r="V933" s="10">
        <v>9657.06</v>
      </c>
      <c r="W933" s="10">
        <v>1473.42</v>
      </c>
      <c r="X933" s="10">
        <v>3096.19</v>
      </c>
      <c r="Y933" s="9">
        <v>4615091</v>
      </c>
    </row>
    <row r="934" spans="1:25" ht="16.05" customHeight="1" x14ac:dyDescent="0.3">
      <c r="A934" s="2">
        <v>2310</v>
      </c>
      <c r="B934" s="2">
        <v>33</v>
      </c>
      <c r="C934" s="2">
        <v>2024</v>
      </c>
      <c r="D934" s="3" t="s">
        <v>29</v>
      </c>
      <c r="E934" s="4">
        <v>1905</v>
      </c>
      <c r="F934" s="5">
        <v>17776496.449999999</v>
      </c>
      <c r="G934" s="5">
        <v>2814019.39</v>
      </c>
      <c r="H934" s="6">
        <v>15.83</v>
      </c>
      <c r="I934" s="6">
        <v>6.65</v>
      </c>
      <c r="J934" s="5">
        <v>4728.05</v>
      </c>
      <c r="K934" s="5">
        <v>13570.51</v>
      </c>
      <c r="L934" s="5">
        <v>17689210.199999999</v>
      </c>
      <c r="M934" s="5">
        <v>17757191.879999999</v>
      </c>
      <c r="N934" s="5">
        <v>87286.25</v>
      </c>
      <c r="O934" s="5">
        <v>17696986.739999998</v>
      </c>
      <c r="P934" s="5">
        <v>17688998.84</v>
      </c>
      <c r="Q934" s="5">
        <v>7987.9</v>
      </c>
      <c r="R934" s="5">
        <v>1182137.01</v>
      </c>
      <c r="S934" s="5">
        <v>1631882.37</v>
      </c>
      <c r="T934" s="5">
        <v>94425.99</v>
      </c>
      <c r="U934" s="5">
        <v>27976.720000000001</v>
      </c>
      <c r="V934" s="5">
        <v>1111.25</v>
      </c>
      <c r="W934" s="5">
        <v>6665.29</v>
      </c>
      <c r="X934" s="5">
        <v>4651.03</v>
      </c>
      <c r="Y934" s="4">
        <v>1921387</v>
      </c>
    </row>
    <row r="935" spans="1:25" ht="16.05" customHeight="1" x14ac:dyDescent="0.3">
      <c r="A935" s="7">
        <v>2380</v>
      </c>
      <c r="B935" s="7">
        <v>34</v>
      </c>
      <c r="C935" s="7">
        <v>2024</v>
      </c>
      <c r="D935" s="8" t="s">
        <v>29</v>
      </c>
      <c r="E935" s="9">
        <v>2449</v>
      </c>
      <c r="F935" s="10">
        <v>100836567.59999999</v>
      </c>
      <c r="G935" s="10">
        <v>21770614.93</v>
      </c>
      <c r="H935" s="11">
        <v>21.59</v>
      </c>
      <c r="I935" s="11">
        <v>6.94</v>
      </c>
      <c r="J935" s="10">
        <v>7377.03</v>
      </c>
      <c r="K935" s="10">
        <v>13150.08</v>
      </c>
      <c r="L935" s="10">
        <v>100826286.59999999</v>
      </c>
      <c r="M935" s="10">
        <v>100830944.59999999</v>
      </c>
      <c r="N935" s="10">
        <v>10280.99</v>
      </c>
      <c r="O935" s="10">
        <v>100836624.8</v>
      </c>
      <c r="P935" s="10">
        <v>100823573.7</v>
      </c>
      <c r="Q935" s="10">
        <v>13051.11</v>
      </c>
      <c r="R935" s="10">
        <v>6998057.79</v>
      </c>
      <c r="S935" s="10">
        <v>14772557.15</v>
      </c>
      <c r="T935" s="10">
        <v>60292.44</v>
      </c>
      <c r="U935" s="10">
        <v>34603.43</v>
      </c>
      <c r="V935" s="10">
        <v>5346.08</v>
      </c>
      <c r="W935" s="10">
        <v>4992.18</v>
      </c>
      <c r="X935" s="10">
        <v>2782.19</v>
      </c>
      <c r="Y935" s="9">
        <v>4955495</v>
      </c>
    </row>
    <row r="936" spans="1:25" ht="16.05" customHeight="1" x14ac:dyDescent="0.3">
      <c r="A936" s="2">
        <v>2450</v>
      </c>
      <c r="B936" s="2">
        <v>35</v>
      </c>
      <c r="C936" s="2">
        <v>2024</v>
      </c>
      <c r="D936" s="3" t="s">
        <v>29</v>
      </c>
      <c r="E936" s="4">
        <v>1008</v>
      </c>
      <c r="F936" s="5">
        <v>52848674.829999998</v>
      </c>
      <c r="G936" s="5">
        <v>10633153.380000001</v>
      </c>
      <c r="H936" s="6">
        <v>20.12</v>
      </c>
      <c r="I936" s="6">
        <v>14.96</v>
      </c>
      <c r="J936" s="5">
        <v>14735.14</v>
      </c>
      <c r="K936" s="5">
        <v>11722.08</v>
      </c>
      <c r="L936" s="5">
        <v>52771284.5</v>
      </c>
      <c r="M936" s="5">
        <v>52826126.670000002</v>
      </c>
      <c r="N936" s="5">
        <v>77390.33</v>
      </c>
      <c r="O936" s="5">
        <v>52778435.560000002</v>
      </c>
      <c r="P936" s="5">
        <v>52774631</v>
      </c>
      <c r="Q936" s="5">
        <v>3804.56</v>
      </c>
      <c r="R936" s="5">
        <v>7906161.7599999998</v>
      </c>
      <c r="S936" s="5">
        <v>2726991.62</v>
      </c>
      <c r="T936" s="5">
        <v>21918.75</v>
      </c>
      <c r="U936" s="5">
        <v>15850.31</v>
      </c>
      <c r="V936" s="5">
        <v>2241.3200000000002</v>
      </c>
      <c r="W936" s="5">
        <v>4909.74</v>
      </c>
      <c r="X936" s="5">
        <v>3953.19</v>
      </c>
      <c r="Y936" s="4">
        <v>3797862</v>
      </c>
    </row>
    <row r="937" spans="1:25" ht="16.05" customHeight="1" x14ac:dyDescent="0.3">
      <c r="A937" s="7">
        <v>2520</v>
      </c>
      <c r="B937" s="7">
        <v>36</v>
      </c>
      <c r="C937" s="7">
        <v>2024</v>
      </c>
      <c r="D937" s="8" t="s">
        <v>29</v>
      </c>
      <c r="E937" s="9">
        <v>405</v>
      </c>
      <c r="F937" s="10">
        <v>25445232.210000001</v>
      </c>
      <c r="G937" s="10">
        <v>2666660.34</v>
      </c>
      <c r="H937" s="11">
        <v>10.48</v>
      </c>
      <c r="I937" s="11">
        <v>7.98</v>
      </c>
      <c r="J937" s="10">
        <v>7610.84</v>
      </c>
      <c r="K937" s="10">
        <v>14467.14</v>
      </c>
      <c r="L937" s="10">
        <v>25405466.289999999</v>
      </c>
      <c r="M937" s="10">
        <v>25430587.52</v>
      </c>
      <c r="N937" s="10">
        <v>39765.919999999998</v>
      </c>
      <c r="O937" s="10">
        <v>25409874.280000001</v>
      </c>
      <c r="P937" s="10">
        <v>25407081.260000002</v>
      </c>
      <c r="Q937" s="10">
        <v>2793.02</v>
      </c>
      <c r="R937" s="10">
        <v>2030529.53</v>
      </c>
      <c r="S937" s="10">
        <v>636130.81000000006</v>
      </c>
      <c r="T937" s="10">
        <v>41174.69</v>
      </c>
      <c r="U937" s="10">
        <v>50032.75</v>
      </c>
      <c r="V937" s="10">
        <v>2433.15</v>
      </c>
      <c r="W937" s="10">
        <v>1974.84</v>
      </c>
      <c r="X937" s="10">
        <v>2565.5100000000002</v>
      </c>
      <c r="Y937" s="9">
        <v>1086887</v>
      </c>
    </row>
    <row r="938" spans="1:25" ht="16.05" customHeight="1" x14ac:dyDescent="0.3">
      <c r="A938" s="2">
        <v>2590</v>
      </c>
      <c r="B938" s="2">
        <v>37</v>
      </c>
      <c r="C938" s="2">
        <v>2024</v>
      </c>
      <c r="D938" s="3" t="s">
        <v>29</v>
      </c>
      <c r="E938" s="4">
        <v>3236</v>
      </c>
      <c r="F938" s="5">
        <v>166826621.69999999</v>
      </c>
      <c r="G938" s="5">
        <v>42023626</v>
      </c>
      <c r="H938" s="6">
        <v>25.19</v>
      </c>
      <c r="I938" s="6">
        <v>13.15</v>
      </c>
      <c r="J938" s="5">
        <v>11525.94</v>
      </c>
      <c r="K938" s="5">
        <v>17038.36</v>
      </c>
      <c r="L938" s="5">
        <v>166800805.69999999</v>
      </c>
      <c r="M938" s="5">
        <v>166811961.80000001</v>
      </c>
      <c r="N938" s="5">
        <v>25815.97</v>
      </c>
      <c r="O938" s="5">
        <v>166816972.90000001</v>
      </c>
      <c r="P938" s="5">
        <v>166811513.09999999</v>
      </c>
      <c r="Q938" s="5">
        <v>5459.74</v>
      </c>
      <c r="R938" s="5">
        <v>21937700.75</v>
      </c>
      <c r="S938" s="5">
        <v>20085925.25</v>
      </c>
      <c r="T938" s="5">
        <v>37495.53</v>
      </c>
      <c r="U938" s="5">
        <v>34579.11</v>
      </c>
      <c r="V938" s="5">
        <v>10248.620000000001</v>
      </c>
      <c r="W938" s="5">
        <v>5918.53</v>
      </c>
      <c r="X938" s="5">
        <v>2451.1</v>
      </c>
      <c r="Y938" s="4">
        <v>1969494</v>
      </c>
    </row>
    <row r="939" spans="1:25" ht="16.05" customHeight="1" x14ac:dyDescent="0.3">
      <c r="A939" s="7">
        <v>2660</v>
      </c>
      <c r="B939" s="7">
        <v>38</v>
      </c>
      <c r="C939" s="7">
        <v>2024</v>
      </c>
      <c r="D939" s="8" t="s">
        <v>29</v>
      </c>
      <c r="E939" s="9">
        <v>2043</v>
      </c>
      <c r="F939" s="10">
        <v>103343925.40000001</v>
      </c>
      <c r="G939" s="10">
        <v>7730125.6200000001</v>
      </c>
      <c r="H939" s="11">
        <v>7.48</v>
      </c>
      <c r="I939" s="11">
        <v>17.940000000000001</v>
      </c>
      <c r="J939" s="10">
        <v>14926.16</v>
      </c>
      <c r="K939" s="10">
        <v>4849.68</v>
      </c>
      <c r="L939" s="10">
        <v>103290515.3</v>
      </c>
      <c r="M939" s="10">
        <v>103338907.3</v>
      </c>
      <c r="N939" s="10">
        <v>53410.16</v>
      </c>
      <c r="O939" s="10">
        <v>103295613.5</v>
      </c>
      <c r="P939" s="10">
        <v>103291832.5</v>
      </c>
      <c r="Q939" s="10">
        <v>3780.99</v>
      </c>
      <c r="R939" s="10">
        <v>18539900.23</v>
      </c>
      <c r="S939" s="10">
        <v>-10809774.6</v>
      </c>
      <c r="T939" s="10">
        <v>109902.1</v>
      </c>
      <c r="U939" s="10">
        <v>57348.75</v>
      </c>
      <c r="V939" s="10">
        <v>2288.3000000000002</v>
      </c>
      <c r="W939" s="10">
        <v>2809.87</v>
      </c>
      <c r="X939" s="10">
        <v>2383.94</v>
      </c>
      <c r="Y939" s="9">
        <v>4587183</v>
      </c>
    </row>
    <row r="940" spans="1:25" ht="16.05" customHeight="1" x14ac:dyDescent="0.3">
      <c r="A940" s="2">
        <v>2730</v>
      </c>
      <c r="B940" s="2">
        <v>39</v>
      </c>
      <c r="C940" s="2">
        <v>2024</v>
      </c>
      <c r="D940" s="3" t="s">
        <v>29</v>
      </c>
      <c r="E940" s="4">
        <v>1698</v>
      </c>
      <c r="F940" s="5">
        <v>30370041.960000001</v>
      </c>
      <c r="G940" s="5">
        <v>9019902.4600000009</v>
      </c>
      <c r="H940" s="6">
        <v>29.7</v>
      </c>
      <c r="I940" s="6">
        <v>15.61</v>
      </c>
      <c r="J940" s="5">
        <v>3706.29</v>
      </c>
      <c r="K940" s="5">
        <v>4673.49</v>
      </c>
      <c r="L940" s="5">
        <v>30358939.510000002</v>
      </c>
      <c r="M940" s="5">
        <v>30361587.940000001</v>
      </c>
      <c r="N940" s="5">
        <v>11102.45</v>
      </c>
      <c r="O940" s="5">
        <v>30376630.109999999</v>
      </c>
      <c r="P940" s="5">
        <v>30367493.02</v>
      </c>
      <c r="Q940" s="5">
        <v>9137.09</v>
      </c>
      <c r="R940" s="5">
        <v>4740763.55</v>
      </c>
      <c r="S940" s="5">
        <v>4279138.91</v>
      </c>
      <c r="T940" s="5">
        <v>44147.66</v>
      </c>
      <c r="U940" s="5">
        <v>51723.87</v>
      </c>
      <c r="V940" s="5">
        <v>10016.48</v>
      </c>
      <c r="W940" s="5">
        <v>7674.12</v>
      </c>
      <c r="X940" s="5">
        <v>4461.87</v>
      </c>
      <c r="Y940" s="4">
        <v>3301015</v>
      </c>
    </row>
    <row r="941" spans="1:25" ht="16.05" customHeight="1" x14ac:dyDescent="0.3">
      <c r="A941" s="7">
        <v>2800</v>
      </c>
      <c r="B941" s="7">
        <v>40</v>
      </c>
      <c r="C941" s="7">
        <v>2024</v>
      </c>
      <c r="D941" s="8" t="s">
        <v>29</v>
      </c>
      <c r="E941" s="9">
        <v>2817</v>
      </c>
      <c r="F941" s="10">
        <v>173795489</v>
      </c>
      <c r="G941" s="10">
        <v>51512982.950000003</v>
      </c>
      <c r="H941" s="11">
        <v>29.64</v>
      </c>
      <c r="I941" s="11">
        <v>12.57</v>
      </c>
      <c r="J941" s="10">
        <v>8723.14</v>
      </c>
      <c r="K941" s="10">
        <v>15035.53</v>
      </c>
      <c r="L941" s="10">
        <v>173728394.69999999</v>
      </c>
      <c r="M941" s="10">
        <v>173771179.5</v>
      </c>
      <c r="N941" s="10">
        <v>67094.38</v>
      </c>
      <c r="O941" s="10">
        <v>173745219.69999999</v>
      </c>
      <c r="P941" s="10">
        <v>173733119.59999999</v>
      </c>
      <c r="Q941" s="10">
        <v>12100.07</v>
      </c>
      <c r="R941" s="10">
        <v>21846092.969999999</v>
      </c>
      <c r="S941" s="10">
        <v>29666889.98</v>
      </c>
      <c r="T941" s="10">
        <v>17639.240000000002</v>
      </c>
      <c r="U941" s="10">
        <v>59422.18</v>
      </c>
      <c r="V941" s="10">
        <v>11830.01</v>
      </c>
      <c r="W941" s="10">
        <v>4995.04</v>
      </c>
      <c r="X941" s="10">
        <v>4872.7</v>
      </c>
      <c r="Y941" s="9">
        <v>2288447</v>
      </c>
    </row>
    <row r="942" spans="1:25" ht="16.05" customHeight="1" x14ac:dyDescent="0.3">
      <c r="A942" s="2">
        <v>2870</v>
      </c>
      <c r="B942" s="2">
        <v>41</v>
      </c>
      <c r="C942" s="2">
        <v>2024</v>
      </c>
      <c r="D942" s="3" t="s">
        <v>29</v>
      </c>
      <c r="E942" s="4">
        <v>1112</v>
      </c>
      <c r="F942" s="5">
        <v>39028695.329999998</v>
      </c>
      <c r="G942" s="5">
        <v>4070692.92</v>
      </c>
      <c r="H942" s="6">
        <v>10.43</v>
      </c>
      <c r="I942" s="6">
        <v>5.63</v>
      </c>
      <c r="J942" s="5">
        <v>7194.13</v>
      </c>
      <c r="K942" s="5">
        <v>18621.419999999998</v>
      </c>
      <c r="L942" s="5">
        <v>38979736.280000001</v>
      </c>
      <c r="M942" s="5">
        <v>39010118.240000002</v>
      </c>
      <c r="N942" s="5">
        <v>48959.05</v>
      </c>
      <c r="O942" s="5">
        <v>38988883.329999998</v>
      </c>
      <c r="P942" s="5">
        <v>38980772.75</v>
      </c>
      <c r="Q942" s="5">
        <v>8110.58</v>
      </c>
      <c r="R942" s="5">
        <v>2197315.5499999998</v>
      </c>
      <c r="S942" s="5">
        <v>1873377.38</v>
      </c>
      <c r="T942" s="5">
        <v>117578.05</v>
      </c>
      <c r="U942" s="5">
        <v>51817.16</v>
      </c>
      <c r="V942" s="5">
        <v>2731.95</v>
      </c>
      <c r="W942" s="5">
        <v>6415.1</v>
      </c>
      <c r="X942" s="5">
        <v>3223.38</v>
      </c>
      <c r="Y942" s="4">
        <v>2317430</v>
      </c>
    </row>
    <row r="943" spans="1:25" ht="16.05" customHeight="1" x14ac:dyDescent="0.3">
      <c r="A943" s="7">
        <v>2940</v>
      </c>
      <c r="B943" s="7">
        <v>42</v>
      </c>
      <c r="C943" s="7">
        <v>2024</v>
      </c>
      <c r="D943" s="8" t="s">
        <v>29</v>
      </c>
      <c r="E943" s="9">
        <v>6482</v>
      </c>
      <c r="F943" s="10">
        <v>414585157.39999998</v>
      </c>
      <c r="G943" s="10">
        <v>111813616.90000001</v>
      </c>
      <c r="H943" s="11">
        <v>26.97</v>
      </c>
      <c r="I943" s="11">
        <v>5.92</v>
      </c>
      <c r="J943" s="10">
        <v>2884.09</v>
      </c>
      <c r="K943" s="10">
        <v>13053.58</v>
      </c>
      <c r="L943" s="10">
        <v>414504119</v>
      </c>
      <c r="M943" s="10">
        <v>414566315.80000001</v>
      </c>
      <c r="N943" s="10">
        <v>81038.37</v>
      </c>
      <c r="O943" s="10">
        <v>414521661.10000002</v>
      </c>
      <c r="P943" s="10">
        <v>414515729.19999999</v>
      </c>
      <c r="Q943" s="10">
        <v>5931.85</v>
      </c>
      <c r="R943" s="10">
        <v>24543441.32</v>
      </c>
      <c r="S943" s="10">
        <v>87270175.629999995</v>
      </c>
      <c r="T943" s="10">
        <v>72326.080000000002</v>
      </c>
      <c r="U943" s="10">
        <v>23928.14</v>
      </c>
      <c r="V943" s="10">
        <v>10869.66</v>
      </c>
      <c r="W943" s="10">
        <v>6672.4</v>
      </c>
      <c r="X943" s="10">
        <v>3034.07</v>
      </c>
      <c r="Y943" s="9">
        <v>3071760</v>
      </c>
    </row>
    <row r="944" spans="1:25" ht="16.05" customHeight="1" x14ac:dyDescent="0.3">
      <c r="A944" s="2">
        <v>3010</v>
      </c>
      <c r="B944" s="2">
        <v>43</v>
      </c>
      <c r="C944" s="2">
        <v>2024</v>
      </c>
      <c r="D944" s="3" t="s">
        <v>29</v>
      </c>
      <c r="E944" s="4">
        <v>733</v>
      </c>
      <c r="F944" s="5">
        <v>43776551.229999997</v>
      </c>
      <c r="G944" s="5">
        <v>11040446.220000001</v>
      </c>
      <c r="H944" s="6">
        <v>25.22</v>
      </c>
      <c r="I944" s="6">
        <v>9.33</v>
      </c>
      <c r="J944" s="5">
        <v>10720.23</v>
      </c>
      <c r="K944" s="5">
        <v>19819.25</v>
      </c>
      <c r="L944" s="5">
        <v>43758670.259999998</v>
      </c>
      <c r="M944" s="5">
        <v>43770689.659999996</v>
      </c>
      <c r="N944" s="5">
        <v>17880.97</v>
      </c>
      <c r="O944" s="5">
        <v>43775290.170000002</v>
      </c>
      <c r="P944" s="5">
        <v>43765759.829999998</v>
      </c>
      <c r="Q944" s="5">
        <v>9530.34</v>
      </c>
      <c r="R944" s="5">
        <v>4084352.23</v>
      </c>
      <c r="S944" s="5">
        <v>6956093.9900000002</v>
      </c>
      <c r="T944" s="5">
        <v>17605.740000000002</v>
      </c>
      <c r="U944" s="5">
        <v>37081.61</v>
      </c>
      <c r="V944" s="5">
        <v>10184.83</v>
      </c>
      <c r="W944" s="5">
        <v>6435.08</v>
      </c>
      <c r="X944" s="5">
        <v>1839.13</v>
      </c>
      <c r="Y944" s="4">
        <v>2657659</v>
      </c>
    </row>
    <row r="945" spans="1:25" ht="16.05" customHeight="1" x14ac:dyDescent="0.3">
      <c r="A945" s="7">
        <v>3080</v>
      </c>
      <c r="B945" s="7">
        <v>44</v>
      </c>
      <c r="C945" s="7">
        <v>2024</v>
      </c>
      <c r="D945" s="8" t="s">
        <v>29</v>
      </c>
      <c r="E945" s="9">
        <v>1920</v>
      </c>
      <c r="F945" s="10">
        <v>127310050.5</v>
      </c>
      <c r="G945" s="10">
        <v>12667350.029999999</v>
      </c>
      <c r="H945" s="11">
        <v>9.9499999999999993</v>
      </c>
      <c r="I945" s="11">
        <v>9.56</v>
      </c>
      <c r="J945" s="10">
        <v>13960.82</v>
      </c>
      <c r="K945" s="10">
        <v>7984.69</v>
      </c>
      <c r="L945" s="10">
        <v>127214679.2</v>
      </c>
      <c r="M945" s="10">
        <v>127300051.90000001</v>
      </c>
      <c r="N945" s="10">
        <v>95371.3</v>
      </c>
      <c r="O945" s="10">
        <v>127228467.7</v>
      </c>
      <c r="P945" s="10">
        <v>127224574.8</v>
      </c>
      <c r="Q945" s="10">
        <v>3892.86</v>
      </c>
      <c r="R945" s="10">
        <v>12170840.83</v>
      </c>
      <c r="S945" s="10">
        <v>496509.2</v>
      </c>
      <c r="T945" s="10">
        <v>118793.7</v>
      </c>
      <c r="U945" s="10">
        <v>10044.18</v>
      </c>
      <c r="V945" s="10">
        <v>10018.43</v>
      </c>
      <c r="W945" s="10">
        <v>3770.01</v>
      </c>
      <c r="X945" s="10">
        <v>3075.27</v>
      </c>
      <c r="Y945" s="9">
        <v>4049836</v>
      </c>
    </row>
    <row r="946" spans="1:25" ht="16.05" customHeight="1" x14ac:dyDescent="0.3">
      <c r="A946" s="2">
        <v>3150</v>
      </c>
      <c r="B946" s="2">
        <v>45</v>
      </c>
      <c r="C946" s="2">
        <v>2024</v>
      </c>
      <c r="D946" s="3" t="s">
        <v>29</v>
      </c>
      <c r="E946" s="4">
        <v>6464</v>
      </c>
      <c r="F946" s="5">
        <v>286132189.69999999</v>
      </c>
      <c r="G946" s="5">
        <v>45008593.43</v>
      </c>
      <c r="H946" s="6">
        <v>15.73</v>
      </c>
      <c r="I946" s="6">
        <v>11</v>
      </c>
      <c r="J946" s="5">
        <v>12400.23</v>
      </c>
      <c r="K946" s="5">
        <v>7924.37</v>
      </c>
      <c r="L946" s="5">
        <v>286070548.89999998</v>
      </c>
      <c r="M946" s="5">
        <v>286117077.30000001</v>
      </c>
      <c r="N946" s="5">
        <v>61640.76</v>
      </c>
      <c r="O946" s="5">
        <v>286079677.30000001</v>
      </c>
      <c r="P946" s="5">
        <v>286073874.10000002</v>
      </c>
      <c r="Q946" s="5">
        <v>5803.15</v>
      </c>
      <c r="R946" s="5">
        <v>31474540.859999999</v>
      </c>
      <c r="S946" s="5">
        <v>13534052.57</v>
      </c>
      <c r="T946" s="5">
        <v>22997.34</v>
      </c>
      <c r="U946" s="5">
        <v>48922.080000000002</v>
      </c>
      <c r="V946" s="5">
        <v>1942.49</v>
      </c>
      <c r="W946" s="5">
        <v>7185.87</v>
      </c>
      <c r="X946" s="5">
        <v>1682.8</v>
      </c>
      <c r="Y946" s="4">
        <v>3156490</v>
      </c>
    </row>
    <row r="947" spans="1:25" ht="16.05" customHeight="1" x14ac:dyDescent="0.3">
      <c r="A947" s="7">
        <v>3220</v>
      </c>
      <c r="B947" s="7">
        <v>46</v>
      </c>
      <c r="C947" s="7">
        <v>2024</v>
      </c>
      <c r="D947" s="8" t="s">
        <v>29</v>
      </c>
      <c r="E947" s="9">
        <v>4482</v>
      </c>
      <c r="F947" s="10">
        <v>244083607.19999999</v>
      </c>
      <c r="G947" s="10">
        <v>33659129.439999998</v>
      </c>
      <c r="H947" s="11">
        <v>13.79</v>
      </c>
      <c r="I947" s="11">
        <v>16.12</v>
      </c>
      <c r="J947" s="10">
        <v>9801.7199999999993</v>
      </c>
      <c r="K947" s="10">
        <v>12867.23</v>
      </c>
      <c r="L947" s="10">
        <v>243984899.09999999</v>
      </c>
      <c r="M947" s="10">
        <v>244058926.19999999</v>
      </c>
      <c r="N947" s="10">
        <v>98708.1</v>
      </c>
      <c r="O947" s="10">
        <v>244001200.30000001</v>
      </c>
      <c r="P947" s="10">
        <v>243994591.30000001</v>
      </c>
      <c r="Q947" s="10">
        <v>6608.98</v>
      </c>
      <c r="R947" s="10">
        <v>39346277.479999997</v>
      </c>
      <c r="S947" s="10">
        <v>-5687148.0499999998</v>
      </c>
      <c r="T947" s="10">
        <v>72002.539999999994</v>
      </c>
      <c r="U947" s="10">
        <v>17062.349999999999</v>
      </c>
      <c r="V947" s="10">
        <v>11255.87</v>
      </c>
      <c r="W947" s="10">
        <v>5045.29</v>
      </c>
      <c r="X947" s="10">
        <v>2648.19</v>
      </c>
      <c r="Y947" s="9">
        <v>1413304</v>
      </c>
    </row>
    <row r="948" spans="1:25" ht="16.05" customHeight="1" x14ac:dyDescent="0.3">
      <c r="A948" s="2">
        <v>3290</v>
      </c>
      <c r="B948" s="2">
        <v>47</v>
      </c>
      <c r="C948" s="2">
        <v>2024</v>
      </c>
      <c r="D948" s="3" t="s">
        <v>29</v>
      </c>
      <c r="E948" s="4">
        <v>4657</v>
      </c>
      <c r="F948" s="5">
        <v>137072256.19999999</v>
      </c>
      <c r="G948" s="5">
        <v>27030648.93</v>
      </c>
      <c r="H948" s="6">
        <v>19.72</v>
      </c>
      <c r="I948" s="6">
        <v>14.43</v>
      </c>
      <c r="J948" s="5">
        <v>1075.9100000000001</v>
      </c>
      <c r="K948" s="5">
        <v>2790.81</v>
      </c>
      <c r="L948" s="5">
        <v>137023670.80000001</v>
      </c>
      <c r="M948" s="5">
        <v>137051974.69999999</v>
      </c>
      <c r="N948" s="5">
        <v>48585.45</v>
      </c>
      <c r="O948" s="5">
        <v>137034246.90000001</v>
      </c>
      <c r="P948" s="5">
        <v>137023837</v>
      </c>
      <c r="Q948" s="5">
        <v>10409.86</v>
      </c>
      <c r="R948" s="5">
        <v>19779526.579999998</v>
      </c>
      <c r="S948" s="5">
        <v>7251122.3600000003</v>
      </c>
      <c r="T948" s="5">
        <v>25755.77</v>
      </c>
      <c r="U948" s="5">
        <v>51842.75</v>
      </c>
      <c r="V948" s="5">
        <v>4160.67</v>
      </c>
      <c r="W948" s="5">
        <v>6415.42</v>
      </c>
      <c r="X948" s="5">
        <v>3721.88</v>
      </c>
      <c r="Y948" s="4">
        <v>4266062</v>
      </c>
    </row>
    <row r="949" spans="1:25" ht="16.05" customHeight="1" x14ac:dyDescent="0.3">
      <c r="A949" s="7">
        <v>3360</v>
      </c>
      <c r="B949" s="7">
        <v>48</v>
      </c>
      <c r="C949" s="7">
        <v>2024</v>
      </c>
      <c r="D949" s="8" t="s">
        <v>29</v>
      </c>
      <c r="E949" s="9">
        <v>1395</v>
      </c>
      <c r="F949" s="10">
        <v>56358429.789999999</v>
      </c>
      <c r="G949" s="10">
        <v>7422405.2000000002</v>
      </c>
      <c r="H949" s="11">
        <v>13.17</v>
      </c>
      <c r="I949" s="11">
        <v>6.17</v>
      </c>
      <c r="J949" s="10">
        <v>6590.85</v>
      </c>
      <c r="K949" s="10">
        <v>17659.080000000002</v>
      </c>
      <c r="L949" s="10">
        <v>56346335.960000001</v>
      </c>
      <c r="M949" s="10">
        <v>56344773.460000001</v>
      </c>
      <c r="N949" s="10">
        <v>12093.83</v>
      </c>
      <c r="O949" s="10">
        <v>56359821.75</v>
      </c>
      <c r="P949" s="10">
        <v>56345380.659999996</v>
      </c>
      <c r="Q949" s="10">
        <v>14441.09</v>
      </c>
      <c r="R949" s="10">
        <v>3477315.12</v>
      </c>
      <c r="S949" s="10">
        <v>3945090.08</v>
      </c>
      <c r="T949" s="10">
        <v>36799.35</v>
      </c>
      <c r="U949" s="10">
        <v>49919.03</v>
      </c>
      <c r="V949" s="10">
        <v>10212.5</v>
      </c>
      <c r="W949" s="10">
        <v>3273.29</v>
      </c>
      <c r="X949" s="10">
        <v>2398.17</v>
      </c>
      <c r="Y949" s="9">
        <v>3958150</v>
      </c>
    </row>
    <row r="950" spans="1:25" ht="16.05" customHeight="1" x14ac:dyDescent="0.3">
      <c r="A950" s="2">
        <v>3430</v>
      </c>
      <c r="B950" s="2">
        <v>49</v>
      </c>
      <c r="C950" s="2">
        <v>2024</v>
      </c>
      <c r="D950" s="3" t="s">
        <v>29</v>
      </c>
      <c r="E950" s="4">
        <v>3652</v>
      </c>
      <c r="F950" s="5">
        <v>27240049.91</v>
      </c>
      <c r="G950" s="5">
        <v>2416192.4300000002</v>
      </c>
      <c r="H950" s="6">
        <v>8.8699999999999992</v>
      </c>
      <c r="I950" s="6">
        <v>17.02</v>
      </c>
      <c r="J950" s="5">
        <v>3760.4</v>
      </c>
      <c r="K950" s="5">
        <v>4085.04</v>
      </c>
      <c r="L950" s="5">
        <v>27175003.079999998</v>
      </c>
      <c r="M950" s="5">
        <v>27230151.739999998</v>
      </c>
      <c r="N950" s="5">
        <v>65046.83</v>
      </c>
      <c r="O950" s="5">
        <v>27188181.219999999</v>
      </c>
      <c r="P950" s="5">
        <v>27184571.100000001</v>
      </c>
      <c r="Q950" s="5">
        <v>3610.12</v>
      </c>
      <c r="R950" s="5">
        <v>4636256.5</v>
      </c>
      <c r="S950" s="5">
        <v>-2220064.0699999998</v>
      </c>
      <c r="T950" s="5">
        <v>13270.15</v>
      </c>
      <c r="U950" s="5">
        <v>52836.58</v>
      </c>
      <c r="V950" s="5">
        <v>5455.23</v>
      </c>
      <c r="W950" s="5">
        <v>7722.91</v>
      </c>
      <c r="X950" s="5">
        <v>1358.93</v>
      </c>
      <c r="Y950" s="4">
        <v>1209704</v>
      </c>
    </row>
    <row r="951" spans="1:25" ht="16.05" customHeight="1" x14ac:dyDescent="0.3">
      <c r="A951" s="7">
        <v>3500</v>
      </c>
      <c r="B951" s="7">
        <v>50</v>
      </c>
      <c r="C951" s="7">
        <v>2024</v>
      </c>
      <c r="D951" s="8" t="s">
        <v>29</v>
      </c>
      <c r="E951" s="9">
        <v>4159</v>
      </c>
      <c r="F951" s="10">
        <v>67984282.719999999</v>
      </c>
      <c r="G951" s="10">
        <v>4568543.8</v>
      </c>
      <c r="H951" s="11">
        <v>6.72</v>
      </c>
      <c r="I951" s="11">
        <v>5.35</v>
      </c>
      <c r="J951" s="10">
        <v>8689.9699999999993</v>
      </c>
      <c r="K951" s="10">
        <v>2860.97</v>
      </c>
      <c r="L951" s="10">
        <v>67910792.709999993</v>
      </c>
      <c r="M951" s="10">
        <v>67960948.659999996</v>
      </c>
      <c r="N951" s="10">
        <v>73490.009999999995</v>
      </c>
      <c r="O951" s="10">
        <v>67927847.109999999</v>
      </c>
      <c r="P951" s="10">
        <v>67916997.810000002</v>
      </c>
      <c r="Q951" s="10">
        <v>10849.3</v>
      </c>
      <c r="R951" s="10">
        <v>3637159.13</v>
      </c>
      <c r="S951" s="10">
        <v>931384.67</v>
      </c>
      <c r="T951" s="10">
        <v>108749.99</v>
      </c>
      <c r="U951" s="10">
        <v>47110.99</v>
      </c>
      <c r="V951" s="10">
        <v>9516.9599999999991</v>
      </c>
      <c r="W951" s="10">
        <v>7537.44</v>
      </c>
      <c r="X951" s="10">
        <v>4533.33</v>
      </c>
      <c r="Y951" s="9">
        <v>3079714</v>
      </c>
    </row>
    <row r="952" spans="1:25" ht="16.05" customHeight="1" x14ac:dyDescent="0.3">
      <c r="A952" s="2">
        <v>30</v>
      </c>
      <c r="B952" s="2">
        <v>1</v>
      </c>
      <c r="C952" s="2">
        <v>2024</v>
      </c>
      <c r="D952" s="3" t="s">
        <v>30</v>
      </c>
      <c r="E952" s="4">
        <v>1217</v>
      </c>
      <c r="F952" s="5">
        <v>27876755.530000001</v>
      </c>
      <c r="G952" s="5">
        <v>2060092.23</v>
      </c>
      <c r="H952" s="6">
        <v>7.39</v>
      </c>
      <c r="I952" s="6">
        <v>15.04</v>
      </c>
      <c r="J952" s="5">
        <v>9206.5400000000009</v>
      </c>
      <c r="K952" s="5">
        <v>11638.65</v>
      </c>
      <c r="L952" s="5">
        <v>27862808.309999999</v>
      </c>
      <c r="M952" s="5">
        <v>27857895.489999998</v>
      </c>
      <c r="N952" s="5">
        <v>13947.22</v>
      </c>
      <c r="O952" s="5">
        <v>27869425.350000001</v>
      </c>
      <c r="P952" s="5">
        <v>27860369.050000001</v>
      </c>
      <c r="Q952" s="5">
        <v>9056.2999999999993</v>
      </c>
      <c r="R952" s="5">
        <v>4192664.03</v>
      </c>
      <c r="S952" s="5">
        <v>-2132571.7999999998</v>
      </c>
      <c r="T952" s="5">
        <v>87375.74</v>
      </c>
      <c r="U952" s="5">
        <v>29076.240000000002</v>
      </c>
      <c r="V952" s="5">
        <v>2961.82</v>
      </c>
      <c r="W952" s="5">
        <v>3655.22</v>
      </c>
      <c r="X952" s="5">
        <v>4083.8</v>
      </c>
      <c r="Y952" s="4">
        <v>2682417</v>
      </c>
    </row>
    <row r="953" spans="1:25" ht="16.05" customHeight="1" x14ac:dyDescent="0.3">
      <c r="A953" s="7">
        <v>100</v>
      </c>
      <c r="B953" s="7">
        <v>2</v>
      </c>
      <c r="C953" s="7">
        <v>2024</v>
      </c>
      <c r="D953" s="8" t="s">
        <v>30</v>
      </c>
      <c r="E953" s="9">
        <v>6492</v>
      </c>
      <c r="F953" s="10">
        <v>255021881.69999999</v>
      </c>
      <c r="G953" s="10">
        <v>63245426.659999996</v>
      </c>
      <c r="H953" s="11">
        <v>24.8</v>
      </c>
      <c r="I953" s="11">
        <v>7.04</v>
      </c>
      <c r="J953" s="10">
        <v>8772.5300000000007</v>
      </c>
      <c r="K953" s="10">
        <v>19621.34</v>
      </c>
      <c r="L953" s="10">
        <v>254995877.09999999</v>
      </c>
      <c r="M953" s="10">
        <v>255003238.59999999</v>
      </c>
      <c r="N953" s="10">
        <v>26004.62</v>
      </c>
      <c r="O953" s="10">
        <v>255006961.19999999</v>
      </c>
      <c r="P953" s="10">
        <v>254999014.09999999</v>
      </c>
      <c r="Q953" s="10">
        <v>7947.12</v>
      </c>
      <c r="R953" s="10">
        <v>17953540.469999999</v>
      </c>
      <c r="S953" s="10">
        <v>45291886.189999998</v>
      </c>
      <c r="T953" s="10">
        <v>31335.279999999999</v>
      </c>
      <c r="U953" s="10">
        <v>22848.65</v>
      </c>
      <c r="V953" s="10">
        <v>4057.14</v>
      </c>
      <c r="W953" s="10">
        <v>7026.97</v>
      </c>
      <c r="X953" s="10">
        <v>3744.7</v>
      </c>
      <c r="Y953" s="9">
        <v>1460770</v>
      </c>
    </row>
    <row r="954" spans="1:25" ht="16.05" customHeight="1" x14ac:dyDescent="0.3">
      <c r="A954" s="2">
        <v>170</v>
      </c>
      <c r="B954" s="2">
        <v>3</v>
      </c>
      <c r="C954" s="2">
        <v>2024</v>
      </c>
      <c r="D954" s="3" t="s">
        <v>30</v>
      </c>
      <c r="E954" s="4">
        <v>3911</v>
      </c>
      <c r="F954" s="5">
        <v>137051755.69999999</v>
      </c>
      <c r="G954" s="5">
        <v>24545969.440000001</v>
      </c>
      <c r="H954" s="6">
        <v>17.91</v>
      </c>
      <c r="I954" s="6">
        <v>7.39</v>
      </c>
      <c r="J954" s="5">
        <v>10577.78</v>
      </c>
      <c r="K954" s="5">
        <v>9851.74</v>
      </c>
      <c r="L954" s="5">
        <v>136956081.90000001</v>
      </c>
      <c r="M954" s="5">
        <v>137042942.59999999</v>
      </c>
      <c r="N954" s="5">
        <v>95673.78</v>
      </c>
      <c r="O954" s="5">
        <v>136964371.90000001</v>
      </c>
      <c r="P954" s="5">
        <v>136950041.19999999</v>
      </c>
      <c r="Q954" s="5">
        <v>14330.69</v>
      </c>
      <c r="R954" s="5">
        <v>10128124.74</v>
      </c>
      <c r="S954" s="5">
        <v>14417844.699999999</v>
      </c>
      <c r="T954" s="5">
        <v>92183.54</v>
      </c>
      <c r="U954" s="5">
        <v>37753.120000000003</v>
      </c>
      <c r="V954" s="5">
        <v>2938.09</v>
      </c>
      <c r="W954" s="5">
        <v>5351.88</v>
      </c>
      <c r="X954" s="5">
        <v>1409.3</v>
      </c>
      <c r="Y954" s="4">
        <v>4490773</v>
      </c>
    </row>
    <row r="955" spans="1:25" ht="16.05" customHeight="1" x14ac:dyDescent="0.3">
      <c r="A955" s="7">
        <v>240</v>
      </c>
      <c r="B955" s="7">
        <v>4</v>
      </c>
      <c r="C955" s="7">
        <v>2024</v>
      </c>
      <c r="D955" s="8" t="s">
        <v>30</v>
      </c>
      <c r="E955" s="9">
        <v>4343</v>
      </c>
      <c r="F955" s="10">
        <v>107658050.5</v>
      </c>
      <c r="G955" s="10">
        <v>15502759.27</v>
      </c>
      <c r="H955" s="11">
        <v>14.4</v>
      </c>
      <c r="I955" s="11">
        <v>8.85</v>
      </c>
      <c r="J955" s="10">
        <v>5572.15</v>
      </c>
      <c r="K955" s="10">
        <v>12756.66</v>
      </c>
      <c r="L955" s="10">
        <v>107593487.8</v>
      </c>
      <c r="M955" s="10">
        <v>107636329.8</v>
      </c>
      <c r="N955" s="10">
        <v>64562.68</v>
      </c>
      <c r="O955" s="10">
        <v>107605308.40000001</v>
      </c>
      <c r="P955" s="10">
        <v>107599952.59999999</v>
      </c>
      <c r="Q955" s="10">
        <v>5355.81</v>
      </c>
      <c r="R955" s="10">
        <v>9527737.4700000007</v>
      </c>
      <c r="S955" s="10">
        <v>5975021.7999999998</v>
      </c>
      <c r="T955" s="10">
        <v>83891.62</v>
      </c>
      <c r="U955" s="10">
        <v>46276.97</v>
      </c>
      <c r="V955" s="10">
        <v>5181.79</v>
      </c>
      <c r="W955" s="10">
        <v>6638.77</v>
      </c>
      <c r="X955" s="10">
        <v>1345.06</v>
      </c>
      <c r="Y955" s="9">
        <v>4563761</v>
      </c>
    </row>
    <row r="956" spans="1:25" ht="16.05" customHeight="1" x14ac:dyDescent="0.3">
      <c r="A956" s="2">
        <v>310</v>
      </c>
      <c r="B956" s="2">
        <v>5</v>
      </c>
      <c r="C956" s="2">
        <v>2024</v>
      </c>
      <c r="D956" s="3" t="s">
        <v>30</v>
      </c>
      <c r="E956" s="4">
        <v>153</v>
      </c>
      <c r="F956" s="5">
        <v>1057615.4099999999</v>
      </c>
      <c r="G956" s="5">
        <v>296238.08000000002</v>
      </c>
      <c r="H956" s="6">
        <v>28.01</v>
      </c>
      <c r="I956" s="6">
        <v>8.2899999999999991</v>
      </c>
      <c r="J956" s="5">
        <v>1778.75</v>
      </c>
      <c r="K956" s="5">
        <v>16736.54</v>
      </c>
      <c r="L956" s="5">
        <v>976624.25</v>
      </c>
      <c r="M956" s="5">
        <v>1033726.66</v>
      </c>
      <c r="N956" s="5">
        <v>80991.16</v>
      </c>
      <c r="O956" s="5">
        <v>985116.21</v>
      </c>
      <c r="P956" s="5">
        <v>971005.07</v>
      </c>
      <c r="Q956" s="5">
        <v>14111.14</v>
      </c>
      <c r="R956" s="5">
        <v>87676.32</v>
      </c>
      <c r="S956" s="5">
        <v>208561.76</v>
      </c>
      <c r="T956" s="5">
        <v>104162.8</v>
      </c>
      <c r="U956" s="5">
        <v>31651.75</v>
      </c>
      <c r="V956" s="5">
        <v>6811.17</v>
      </c>
      <c r="W956" s="5">
        <v>1680.79</v>
      </c>
      <c r="X956" s="5">
        <v>4243.47</v>
      </c>
      <c r="Y956" s="4">
        <v>4393747</v>
      </c>
    </row>
    <row r="957" spans="1:25" ht="16.05" customHeight="1" x14ac:dyDescent="0.3">
      <c r="A957" s="7">
        <v>380</v>
      </c>
      <c r="B957" s="7">
        <v>6</v>
      </c>
      <c r="C957" s="7">
        <v>2024</v>
      </c>
      <c r="D957" s="8" t="s">
        <v>30</v>
      </c>
      <c r="E957" s="9">
        <v>5279</v>
      </c>
      <c r="F957" s="10">
        <v>225558406.5</v>
      </c>
      <c r="G957" s="10">
        <v>64193922.479999997</v>
      </c>
      <c r="H957" s="11">
        <v>28.46</v>
      </c>
      <c r="I957" s="11">
        <v>11.34</v>
      </c>
      <c r="J957" s="10">
        <v>3031.7</v>
      </c>
      <c r="K957" s="10">
        <v>11731.92</v>
      </c>
      <c r="L957" s="10">
        <v>225518985.90000001</v>
      </c>
      <c r="M957" s="10">
        <v>225539142.30000001</v>
      </c>
      <c r="N957" s="10">
        <v>39420.6</v>
      </c>
      <c r="O957" s="10">
        <v>225530707.09999999</v>
      </c>
      <c r="P957" s="10">
        <v>225517564.09999999</v>
      </c>
      <c r="Q957" s="10">
        <v>13142.93</v>
      </c>
      <c r="R957" s="10">
        <v>25578323.289999999</v>
      </c>
      <c r="S957" s="10">
        <v>38615599.189999998</v>
      </c>
      <c r="T957" s="10">
        <v>84978.46</v>
      </c>
      <c r="U957" s="10">
        <v>7536.68</v>
      </c>
      <c r="V957" s="10">
        <v>6619.04</v>
      </c>
      <c r="W957" s="10">
        <v>5102.1400000000003</v>
      </c>
      <c r="X957" s="10">
        <v>3276.79</v>
      </c>
      <c r="Y957" s="9">
        <v>1802812</v>
      </c>
    </row>
    <row r="958" spans="1:25" ht="16.05" customHeight="1" x14ac:dyDescent="0.3">
      <c r="A958" s="2">
        <v>450</v>
      </c>
      <c r="B958" s="2">
        <v>7</v>
      </c>
      <c r="C958" s="2">
        <v>2024</v>
      </c>
      <c r="D958" s="3" t="s">
        <v>30</v>
      </c>
      <c r="E958" s="4">
        <v>3715</v>
      </c>
      <c r="F958" s="5">
        <v>43158820.030000001</v>
      </c>
      <c r="G958" s="5">
        <v>10159586.24</v>
      </c>
      <c r="H958" s="6">
        <v>23.54</v>
      </c>
      <c r="I958" s="6">
        <v>6.04</v>
      </c>
      <c r="J958" s="5">
        <v>2493.64</v>
      </c>
      <c r="K958" s="5">
        <v>4998.8900000000003</v>
      </c>
      <c r="L958" s="5">
        <v>43076874.530000001</v>
      </c>
      <c r="M958" s="5">
        <v>43142784.909999996</v>
      </c>
      <c r="N958" s="5">
        <v>81945.5</v>
      </c>
      <c r="O958" s="5">
        <v>43083394.219999999</v>
      </c>
      <c r="P958" s="5">
        <v>43075484.450000003</v>
      </c>
      <c r="Q958" s="5">
        <v>7909.77</v>
      </c>
      <c r="R958" s="5">
        <v>2606792.73</v>
      </c>
      <c r="S958" s="5">
        <v>7552793.5099999998</v>
      </c>
      <c r="T958" s="5">
        <v>96588.06</v>
      </c>
      <c r="U958" s="5">
        <v>17467.29</v>
      </c>
      <c r="V958" s="5">
        <v>3441.99</v>
      </c>
      <c r="W958" s="5">
        <v>3077.7</v>
      </c>
      <c r="X958" s="5">
        <v>3837.89</v>
      </c>
      <c r="Y958" s="4">
        <v>2923790</v>
      </c>
    </row>
    <row r="959" spans="1:25" ht="16.05" customHeight="1" x14ac:dyDescent="0.3">
      <c r="A959" s="7">
        <v>520</v>
      </c>
      <c r="B959" s="7">
        <v>8</v>
      </c>
      <c r="C959" s="7">
        <v>2024</v>
      </c>
      <c r="D959" s="8" t="s">
        <v>30</v>
      </c>
      <c r="E959" s="9">
        <v>1430</v>
      </c>
      <c r="F959" s="10">
        <v>46121108.729999997</v>
      </c>
      <c r="G959" s="10">
        <v>6650663.8799999999</v>
      </c>
      <c r="H959" s="11">
        <v>14.42</v>
      </c>
      <c r="I959" s="11">
        <v>9.3699999999999992</v>
      </c>
      <c r="J959" s="10">
        <v>14049.75</v>
      </c>
      <c r="K959" s="10">
        <v>17923.22</v>
      </c>
      <c r="L959" s="10">
        <v>46034240.490000002</v>
      </c>
      <c r="M959" s="10">
        <v>46115603.149999999</v>
      </c>
      <c r="N959" s="10">
        <v>86868.24</v>
      </c>
      <c r="O959" s="10">
        <v>46045506.460000001</v>
      </c>
      <c r="P959" s="10">
        <v>46036568.659999996</v>
      </c>
      <c r="Q959" s="10">
        <v>8937.7999999999993</v>
      </c>
      <c r="R959" s="10">
        <v>4321547.8899999997</v>
      </c>
      <c r="S959" s="10">
        <v>2329115.9900000002</v>
      </c>
      <c r="T959" s="10">
        <v>36537.47</v>
      </c>
      <c r="U959" s="10">
        <v>59506.43</v>
      </c>
      <c r="V959" s="10">
        <v>5863.35</v>
      </c>
      <c r="W959" s="10">
        <v>5402.62</v>
      </c>
      <c r="X959" s="10">
        <v>1264.83</v>
      </c>
      <c r="Y959" s="9">
        <v>3063680</v>
      </c>
    </row>
    <row r="960" spans="1:25" ht="16.05" customHeight="1" x14ac:dyDescent="0.3">
      <c r="A960" s="2">
        <v>590</v>
      </c>
      <c r="B960" s="2">
        <v>9</v>
      </c>
      <c r="C960" s="2">
        <v>2024</v>
      </c>
      <c r="D960" s="3" t="s">
        <v>30</v>
      </c>
      <c r="E960" s="4">
        <v>6501</v>
      </c>
      <c r="F960" s="5">
        <v>118457477.09999999</v>
      </c>
      <c r="G960" s="5">
        <v>17365866.149999999</v>
      </c>
      <c r="H960" s="6">
        <v>14.66</v>
      </c>
      <c r="I960" s="6">
        <v>18.59</v>
      </c>
      <c r="J960" s="5">
        <v>9645.83</v>
      </c>
      <c r="K960" s="5">
        <v>9831.6</v>
      </c>
      <c r="L960" s="5">
        <v>118380973.09999999</v>
      </c>
      <c r="M960" s="5">
        <v>118445918.59999999</v>
      </c>
      <c r="N960" s="5">
        <v>76504.009999999995</v>
      </c>
      <c r="O960" s="5">
        <v>118397194.8</v>
      </c>
      <c r="P960" s="5">
        <v>118387221.2</v>
      </c>
      <c r="Q960" s="5">
        <v>9973.6</v>
      </c>
      <c r="R960" s="5">
        <v>22021245</v>
      </c>
      <c r="S960" s="5">
        <v>-4655378.8499999996</v>
      </c>
      <c r="T960" s="5">
        <v>66522.28</v>
      </c>
      <c r="U960" s="5">
        <v>12093.37</v>
      </c>
      <c r="V960" s="5">
        <v>10797.12</v>
      </c>
      <c r="W960" s="5">
        <v>5424.55</v>
      </c>
      <c r="X960" s="5">
        <v>3122.34</v>
      </c>
      <c r="Y960" s="4">
        <v>4978732</v>
      </c>
    </row>
    <row r="961" spans="1:25" ht="16.05" customHeight="1" x14ac:dyDescent="0.3">
      <c r="A961" s="7">
        <v>660</v>
      </c>
      <c r="B961" s="7">
        <v>10</v>
      </c>
      <c r="C961" s="7">
        <v>2024</v>
      </c>
      <c r="D961" s="8" t="s">
        <v>30</v>
      </c>
      <c r="E961" s="9">
        <v>5802</v>
      </c>
      <c r="F961" s="10">
        <v>115182420.40000001</v>
      </c>
      <c r="G961" s="10">
        <v>14017700.57</v>
      </c>
      <c r="H961" s="11">
        <v>12.17</v>
      </c>
      <c r="I961" s="11">
        <v>9.39</v>
      </c>
      <c r="J961" s="10">
        <v>3800.34</v>
      </c>
      <c r="K961" s="10">
        <v>3812.46</v>
      </c>
      <c r="L961" s="10">
        <v>115141191.59999999</v>
      </c>
      <c r="M961" s="10">
        <v>115159134.8</v>
      </c>
      <c r="N961" s="10">
        <v>41228.82</v>
      </c>
      <c r="O961" s="10">
        <v>115152164.59999999</v>
      </c>
      <c r="P961" s="10">
        <v>115146131.09999999</v>
      </c>
      <c r="Q961" s="10">
        <v>6033.56</v>
      </c>
      <c r="R961" s="10">
        <v>10815629.279999999</v>
      </c>
      <c r="S961" s="10">
        <v>3202071.29</v>
      </c>
      <c r="T961" s="10">
        <v>66420.740000000005</v>
      </c>
      <c r="U961" s="10">
        <v>44393.4</v>
      </c>
      <c r="V961" s="10">
        <v>7387.48</v>
      </c>
      <c r="W961" s="10">
        <v>3585.55</v>
      </c>
      <c r="X961" s="10">
        <v>3070.24</v>
      </c>
      <c r="Y961" s="9">
        <v>2660008</v>
      </c>
    </row>
    <row r="962" spans="1:25" ht="16.05" customHeight="1" x14ac:dyDescent="0.3">
      <c r="A962" s="2">
        <v>730</v>
      </c>
      <c r="B962" s="2">
        <v>11</v>
      </c>
      <c r="C962" s="2">
        <v>2024</v>
      </c>
      <c r="D962" s="3" t="s">
        <v>30</v>
      </c>
      <c r="E962" s="4">
        <v>511</v>
      </c>
      <c r="F962" s="5">
        <v>16884986.609999999</v>
      </c>
      <c r="G962" s="5">
        <v>1364306.92</v>
      </c>
      <c r="H962" s="6">
        <v>8.08</v>
      </c>
      <c r="I962" s="6">
        <v>5.82</v>
      </c>
      <c r="J962" s="5">
        <v>11820.51</v>
      </c>
      <c r="K962" s="5">
        <v>4391.09</v>
      </c>
      <c r="L962" s="5">
        <v>16871575.300000001</v>
      </c>
      <c r="M962" s="5">
        <v>16875029.300000001</v>
      </c>
      <c r="N962" s="5">
        <v>13411.31</v>
      </c>
      <c r="O962" s="5">
        <v>16875249.690000001</v>
      </c>
      <c r="P962" s="5">
        <v>16864920.59</v>
      </c>
      <c r="Q962" s="5">
        <v>10329.1</v>
      </c>
      <c r="R962" s="5">
        <v>982706.22</v>
      </c>
      <c r="S962" s="5">
        <v>381600.7</v>
      </c>
      <c r="T962" s="5">
        <v>92156.76</v>
      </c>
      <c r="U962" s="5">
        <v>48904.94</v>
      </c>
      <c r="V962" s="5">
        <v>1567.5</v>
      </c>
      <c r="W962" s="5">
        <v>2106.89</v>
      </c>
      <c r="X962" s="5">
        <v>4046.18</v>
      </c>
      <c r="Y962" s="4">
        <v>4744812</v>
      </c>
    </row>
    <row r="963" spans="1:25" ht="16.05" customHeight="1" x14ac:dyDescent="0.3">
      <c r="A963" s="7">
        <v>800</v>
      </c>
      <c r="B963" s="7">
        <v>12</v>
      </c>
      <c r="C963" s="7">
        <v>2024</v>
      </c>
      <c r="D963" s="8" t="s">
        <v>30</v>
      </c>
      <c r="E963" s="9">
        <v>6563</v>
      </c>
      <c r="F963" s="10">
        <v>356416978</v>
      </c>
      <c r="G963" s="10">
        <v>27444107.309999999</v>
      </c>
      <c r="H963" s="11">
        <v>7.7</v>
      </c>
      <c r="I963" s="11">
        <v>12.04</v>
      </c>
      <c r="J963" s="10">
        <v>4263.09</v>
      </c>
      <c r="K963" s="10">
        <v>8272.4</v>
      </c>
      <c r="L963" s="10">
        <v>356337768.30000001</v>
      </c>
      <c r="M963" s="10">
        <v>356404124.5</v>
      </c>
      <c r="N963" s="10">
        <v>79209.710000000006</v>
      </c>
      <c r="O963" s="10">
        <v>356354670.39999998</v>
      </c>
      <c r="P963" s="10">
        <v>356351328.69999999</v>
      </c>
      <c r="Q963" s="10">
        <v>3341.7</v>
      </c>
      <c r="R963" s="10">
        <v>42912604.149999999</v>
      </c>
      <c r="S963" s="10">
        <v>-15468496.85</v>
      </c>
      <c r="T963" s="10">
        <v>15537.4</v>
      </c>
      <c r="U963" s="10">
        <v>24071.51</v>
      </c>
      <c r="V963" s="10">
        <v>11639.56</v>
      </c>
      <c r="W963" s="10">
        <v>5262.57</v>
      </c>
      <c r="X963" s="10">
        <v>2457.71</v>
      </c>
      <c r="Y963" s="9">
        <v>1386866</v>
      </c>
    </row>
    <row r="964" spans="1:25" ht="16.05" customHeight="1" x14ac:dyDescent="0.3">
      <c r="A964" s="2">
        <v>870</v>
      </c>
      <c r="B964" s="2">
        <v>13</v>
      </c>
      <c r="C964" s="2">
        <v>2024</v>
      </c>
      <c r="D964" s="3" t="s">
        <v>30</v>
      </c>
      <c r="E964" s="4">
        <v>5606</v>
      </c>
      <c r="F964" s="5">
        <v>312311548</v>
      </c>
      <c r="G964" s="5">
        <v>64304947.729999997</v>
      </c>
      <c r="H964" s="6">
        <v>20.59</v>
      </c>
      <c r="I964" s="6">
        <v>13.37</v>
      </c>
      <c r="J964" s="5">
        <v>9812.5499999999993</v>
      </c>
      <c r="K964" s="5">
        <v>12608.62</v>
      </c>
      <c r="L964" s="5">
        <v>312226842.30000001</v>
      </c>
      <c r="M964" s="5">
        <v>312293909.80000001</v>
      </c>
      <c r="N964" s="5">
        <v>84705.68</v>
      </c>
      <c r="O964" s="5">
        <v>312239308</v>
      </c>
      <c r="P964" s="5">
        <v>312227283.19999999</v>
      </c>
      <c r="Q964" s="5">
        <v>12024.81</v>
      </c>
      <c r="R964" s="5">
        <v>41756053.960000001</v>
      </c>
      <c r="S964" s="5">
        <v>22548893.760000002</v>
      </c>
      <c r="T964" s="5">
        <v>81370.67</v>
      </c>
      <c r="U964" s="5">
        <v>39047.839999999997</v>
      </c>
      <c r="V964" s="5">
        <v>9119.16</v>
      </c>
      <c r="W964" s="5">
        <v>3346.53</v>
      </c>
      <c r="X964" s="5">
        <v>2850.59</v>
      </c>
      <c r="Y964" s="4">
        <v>1992672</v>
      </c>
    </row>
    <row r="965" spans="1:25" ht="16.05" customHeight="1" x14ac:dyDescent="0.3">
      <c r="A965" s="7">
        <v>940</v>
      </c>
      <c r="B965" s="7">
        <v>14</v>
      </c>
      <c r="C965" s="7">
        <v>2024</v>
      </c>
      <c r="D965" s="8" t="s">
        <v>30</v>
      </c>
      <c r="E965" s="9">
        <v>4924</v>
      </c>
      <c r="F965" s="10">
        <v>52152282.130000003</v>
      </c>
      <c r="G965" s="10">
        <v>13669113.15</v>
      </c>
      <c r="H965" s="11">
        <v>26.21</v>
      </c>
      <c r="I965" s="11">
        <v>18.96</v>
      </c>
      <c r="J965" s="10">
        <v>2655.97</v>
      </c>
      <c r="K965" s="10">
        <v>13488.43</v>
      </c>
      <c r="L965" s="10">
        <v>52114806.880000003</v>
      </c>
      <c r="M965" s="10">
        <v>52142127.039999999</v>
      </c>
      <c r="N965" s="10">
        <v>37475.25</v>
      </c>
      <c r="O965" s="10">
        <v>52129976.659999996</v>
      </c>
      <c r="P965" s="10">
        <v>52118756.689999998</v>
      </c>
      <c r="Q965" s="10">
        <v>11219.97</v>
      </c>
      <c r="R965" s="10">
        <v>9888072.6899999995</v>
      </c>
      <c r="S965" s="10">
        <v>3781040.46</v>
      </c>
      <c r="T965" s="10">
        <v>38247.61</v>
      </c>
      <c r="U965" s="10">
        <v>21917.73</v>
      </c>
      <c r="V965" s="10">
        <v>8623.9699999999993</v>
      </c>
      <c r="W965" s="10">
        <v>6545.81</v>
      </c>
      <c r="X965" s="10">
        <v>1362.21</v>
      </c>
      <c r="Y965" s="9">
        <v>3885778</v>
      </c>
    </row>
    <row r="966" spans="1:25" ht="16.05" customHeight="1" x14ac:dyDescent="0.3">
      <c r="A966" s="2">
        <v>1010</v>
      </c>
      <c r="B966" s="2">
        <v>15</v>
      </c>
      <c r="C966" s="2">
        <v>2024</v>
      </c>
      <c r="D966" s="3" t="s">
        <v>30</v>
      </c>
      <c r="E966" s="4">
        <v>5551</v>
      </c>
      <c r="F966" s="5">
        <v>162568109.80000001</v>
      </c>
      <c r="G966" s="5">
        <v>45860463.789999999</v>
      </c>
      <c r="H966" s="6">
        <v>28.21</v>
      </c>
      <c r="I966" s="6">
        <v>13.87</v>
      </c>
      <c r="J966" s="5">
        <v>13343.47</v>
      </c>
      <c r="K966" s="5">
        <v>6007.82</v>
      </c>
      <c r="L966" s="5">
        <v>162538104.59999999</v>
      </c>
      <c r="M966" s="5">
        <v>162556560</v>
      </c>
      <c r="N966" s="5">
        <v>30005.26</v>
      </c>
      <c r="O966" s="5">
        <v>162543793.30000001</v>
      </c>
      <c r="P966" s="5">
        <v>162536492.40000001</v>
      </c>
      <c r="Q966" s="5">
        <v>7300.89</v>
      </c>
      <c r="R966" s="5">
        <v>22548196.829999998</v>
      </c>
      <c r="S966" s="5">
        <v>23312266.949999999</v>
      </c>
      <c r="T966" s="5">
        <v>32441.06</v>
      </c>
      <c r="U966" s="5">
        <v>45134.8</v>
      </c>
      <c r="V966" s="5">
        <v>4080.4</v>
      </c>
      <c r="W966" s="5">
        <v>1608.34</v>
      </c>
      <c r="X966" s="5">
        <v>3771.09</v>
      </c>
      <c r="Y966" s="4">
        <v>2039649</v>
      </c>
    </row>
    <row r="967" spans="1:25" ht="16.05" customHeight="1" x14ac:dyDescent="0.3">
      <c r="A967" s="7">
        <v>1080</v>
      </c>
      <c r="B967" s="7">
        <v>16</v>
      </c>
      <c r="C967" s="7">
        <v>2024</v>
      </c>
      <c r="D967" s="8" t="s">
        <v>30</v>
      </c>
      <c r="E967" s="9">
        <v>274</v>
      </c>
      <c r="F967" s="10">
        <v>1399270.24</v>
      </c>
      <c r="G967" s="10">
        <v>143984.91</v>
      </c>
      <c r="H967" s="11">
        <v>10.29</v>
      </c>
      <c r="I967" s="11">
        <v>14.69</v>
      </c>
      <c r="J967" s="10">
        <v>9970.08</v>
      </c>
      <c r="K967" s="10">
        <v>10868.04</v>
      </c>
      <c r="L967" s="10">
        <v>1331373.1499999999</v>
      </c>
      <c r="M967" s="10">
        <v>1393978.98</v>
      </c>
      <c r="N967" s="10">
        <v>67897.09</v>
      </c>
      <c r="O967" s="10">
        <v>1338207.8500000001</v>
      </c>
      <c r="P967" s="10">
        <v>1331029.56</v>
      </c>
      <c r="Q967" s="10">
        <v>7178.29</v>
      </c>
      <c r="R967" s="10">
        <v>205552.8</v>
      </c>
      <c r="S967" s="10">
        <v>-61567.89</v>
      </c>
      <c r="T967" s="10">
        <v>93658.34</v>
      </c>
      <c r="U967" s="10">
        <v>54605.49</v>
      </c>
      <c r="V967" s="10">
        <v>5708.05</v>
      </c>
      <c r="W967" s="10">
        <v>1126.6500000000001</v>
      </c>
      <c r="X967" s="10">
        <v>4256.84</v>
      </c>
      <c r="Y967" s="9">
        <v>4331922</v>
      </c>
    </row>
    <row r="968" spans="1:25" ht="16.05" customHeight="1" x14ac:dyDescent="0.3">
      <c r="A968" s="2">
        <v>1150</v>
      </c>
      <c r="B968" s="2">
        <v>17</v>
      </c>
      <c r="C968" s="2">
        <v>2024</v>
      </c>
      <c r="D968" s="3" t="s">
        <v>30</v>
      </c>
      <c r="E968" s="4">
        <v>3526</v>
      </c>
      <c r="F968" s="5">
        <v>34266076.719999999</v>
      </c>
      <c r="G968" s="5">
        <v>4392911.04</v>
      </c>
      <c r="H968" s="6">
        <v>12.82</v>
      </c>
      <c r="I968" s="6">
        <v>17.989999999999998</v>
      </c>
      <c r="J968" s="5">
        <v>9469.4500000000007</v>
      </c>
      <c r="K968" s="5">
        <v>17634</v>
      </c>
      <c r="L968" s="5">
        <v>34168714.020000003</v>
      </c>
      <c r="M968" s="5">
        <v>34261948.740000002</v>
      </c>
      <c r="N968" s="5">
        <v>97362.7</v>
      </c>
      <c r="O968" s="5">
        <v>34176793.310000002</v>
      </c>
      <c r="P968" s="5">
        <v>34174488.299999997</v>
      </c>
      <c r="Q968" s="5">
        <v>2305.0100000000002</v>
      </c>
      <c r="R968" s="5">
        <v>6164467.2000000002</v>
      </c>
      <c r="S968" s="5">
        <v>-1771556.17</v>
      </c>
      <c r="T968" s="5">
        <v>29975.63</v>
      </c>
      <c r="U968" s="5">
        <v>39964.949999999997</v>
      </c>
      <c r="V968" s="5">
        <v>2448.8200000000002</v>
      </c>
      <c r="W968" s="5">
        <v>5630.47</v>
      </c>
      <c r="X968" s="5">
        <v>1264.78</v>
      </c>
      <c r="Y968" s="4">
        <v>3988598</v>
      </c>
    </row>
    <row r="969" spans="1:25" ht="16.05" customHeight="1" x14ac:dyDescent="0.3">
      <c r="A969" s="7">
        <v>1220</v>
      </c>
      <c r="B969" s="7">
        <v>18</v>
      </c>
      <c r="C969" s="7">
        <v>2024</v>
      </c>
      <c r="D969" s="8" t="s">
        <v>30</v>
      </c>
      <c r="E969" s="9">
        <v>3451</v>
      </c>
      <c r="F969" s="10">
        <v>187349036.40000001</v>
      </c>
      <c r="G969" s="10">
        <v>51333635.979999997</v>
      </c>
      <c r="H969" s="11">
        <v>27.4</v>
      </c>
      <c r="I969" s="11">
        <v>5.81</v>
      </c>
      <c r="J969" s="10">
        <v>13436.68</v>
      </c>
      <c r="K969" s="10">
        <v>10569.77</v>
      </c>
      <c r="L969" s="10">
        <v>187307378.5</v>
      </c>
      <c r="M969" s="10">
        <v>187333944.5</v>
      </c>
      <c r="N969" s="10">
        <v>41657.949999999997</v>
      </c>
      <c r="O969" s="10">
        <v>187322322</v>
      </c>
      <c r="P969" s="10">
        <v>187311782</v>
      </c>
      <c r="Q969" s="10">
        <v>10540.05</v>
      </c>
      <c r="R969" s="10">
        <v>10884979.02</v>
      </c>
      <c r="S969" s="10">
        <v>40448656.960000001</v>
      </c>
      <c r="T969" s="10">
        <v>63243.98</v>
      </c>
      <c r="U969" s="10">
        <v>22562.32</v>
      </c>
      <c r="V969" s="10">
        <v>11319.44</v>
      </c>
      <c r="W969" s="10">
        <v>3624.11</v>
      </c>
      <c r="X969" s="10">
        <v>3250.87</v>
      </c>
      <c r="Y969" s="9">
        <v>3916052</v>
      </c>
    </row>
    <row r="970" spans="1:25" ht="16.05" customHeight="1" x14ac:dyDescent="0.3">
      <c r="A970" s="2">
        <v>1290</v>
      </c>
      <c r="B970" s="2">
        <v>19</v>
      </c>
      <c r="C970" s="2">
        <v>2024</v>
      </c>
      <c r="D970" s="3" t="s">
        <v>30</v>
      </c>
      <c r="E970" s="4">
        <v>6713</v>
      </c>
      <c r="F970" s="5">
        <v>340515550.69999999</v>
      </c>
      <c r="G970" s="5">
        <v>34392070.619999997</v>
      </c>
      <c r="H970" s="6">
        <v>10.1</v>
      </c>
      <c r="I970" s="6">
        <v>6.65</v>
      </c>
      <c r="J970" s="5">
        <v>5093.01</v>
      </c>
      <c r="K970" s="5">
        <v>16696.39</v>
      </c>
      <c r="L970" s="5">
        <v>340461430.5</v>
      </c>
      <c r="M970" s="5">
        <v>340492760.60000002</v>
      </c>
      <c r="N970" s="5">
        <v>54120.23</v>
      </c>
      <c r="O970" s="5">
        <v>340468817.60000002</v>
      </c>
      <c r="P970" s="5">
        <v>340465360.10000002</v>
      </c>
      <c r="Q970" s="5">
        <v>3457.49</v>
      </c>
      <c r="R970" s="5">
        <v>22644284.120000001</v>
      </c>
      <c r="S970" s="5">
        <v>11747786.5</v>
      </c>
      <c r="T970" s="5">
        <v>76560.31</v>
      </c>
      <c r="U970" s="5">
        <v>18532.099999999999</v>
      </c>
      <c r="V970" s="5">
        <v>3117.68</v>
      </c>
      <c r="W970" s="5">
        <v>4269.4799999999996</v>
      </c>
      <c r="X970" s="5">
        <v>1808.3</v>
      </c>
      <c r="Y970" s="4">
        <v>4159585</v>
      </c>
    </row>
    <row r="971" spans="1:25" ht="16.05" customHeight="1" x14ac:dyDescent="0.3">
      <c r="A971" s="7">
        <v>1360</v>
      </c>
      <c r="B971" s="7">
        <v>20</v>
      </c>
      <c r="C971" s="7">
        <v>2024</v>
      </c>
      <c r="D971" s="8" t="s">
        <v>30</v>
      </c>
      <c r="E971" s="9">
        <v>6666</v>
      </c>
      <c r="F971" s="10">
        <v>104319670.7</v>
      </c>
      <c r="G971" s="10">
        <v>6655594.9900000002</v>
      </c>
      <c r="H971" s="11">
        <v>6.38</v>
      </c>
      <c r="I971" s="11">
        <v>17.23</v>
      </c>
      <c r="J971" s="10">
        <v>6880.13</v>
      </c>
      <c r="K971" s="10">
        <v>10748.11</v>
      </c>
      <c r="L971" s="10">
        <v>104252745</v>
      </c>
      <c r="M971" s="10">
        <v>104301400.5</v>
      </c>
      <c r="N971" s="10">
        <v>66925.7</v>
      </c>
      <c r="O971" s="10">
        <v>104269931.40000001</v>
      </c>
      <c r="P971" s="10">
        <v>104267037.59999999</v>
      </c>
      <c r="Q971" s="10">
        <v>2893.85</v>
      </c>
      <c r="R971" s="10">
        <v>17974279.27</v>
      </c>
      <c r="S971" s="10">
        <v>-11318684.279999999</v>
      </c>
      <c r="T971" s="10">
        <v>51302.87</v>
      </c>
      <c r="U971" s="10">
        <v>7750.15</v>
      </c>
      <c r="V971" s="10">
        <v>10030.59</v>
      </c>
      <c r="W971" s="10">
        <v>7155.79</v>
      </c>
      <c r="X971" s="10">
        <v>3480.73</v>
      </c>
      <c r="Y971" s="9">
        <v>1935987</v>
      </c>
    </row>
    <row r="972" spans="1:25" ht="16.05" customHeight="1" x14ac:dyDescent="0.3">
      <c r="A972" s="2">
        <v>1430</v>
      </c>
      <c r="B972" s="2">
        <v>21</v>
      </c>
      <c r="C972" s="2">
        <v>2024</v>
      </c>
      <c r="D972" s="3" t="s">
        <v>30</v>
      </c>
      <c r="E972" s="4">
        <v>6046</v>
      </c>
      <c r="F972" s="5">
        <v>188029449</v>
      </c>
      <c r="G972" s="5">
        <v>27659131.949999999</v>
      </c>
      <c r="H972" s="6">
        <v>14.71</v>
      </c>
      <c r="I972" s="6">
        <v>12.75</v>
      </c>
      <c r="J972" s="5">
        <v>7564.54</v>
      </c>
      <c r="K972" s="5">
        <v>6361.71</v>
      </c>
      <c r="L972" s="5">
        <v>187997719.19999999</v>
      </c>
      <c r="M972" s="5">
        <v>188018142.40000001</v>
      </c>
      <c r="N972" s="5">
        <v>31729.78</v>
      </c>
      <c r="O972" s="5">
        <v>188007003.09999999</v>
      </c>
      <c r="P972" s="5">
        <v>187993039.09999999</v>
      </c>
      <c r="Q972" s="5">
        <v>13964</v>
      </c>
      <c r="R972" s="5">
        <v>23973754.75</v>
      </c>
      <c r="S972" s="5">
        <v>3685377.2</v>
      </c>
      <c r="T972" s="5">
        <v>58171.3</v>
      </c>
      <c r="U972" s="5">
        <v>29141.24</v>
      </c>
      <c r="V972" s="5">
        <v>1531.07</v>
      </c>
      <c r="W972" s="5">
        <v>7752.85</v>
      </c>
      <c r="X972" s="5">
        <v>3001.37</v>
      </c>
      <c r="Y972" s="4">
        <v>2158533</v>
      </c>
    </row>
    <row r="973" spans="1:25" ht="16.05" customHeight="1" x14ac:dyDescent="0.3">
      <c r="A973" s="7">
        <v>1500</v>
      </c>
      <c r="B973" s="7">
        <v>22</v>
      </c>
      <c r="C973" s="7">
        <v>2024</v>
      </c>
      <c r="D973" s="8" t="s">
        <v>30</v>
      </c>
      <c r="E973" s="9">
        <v>6593</v>
      </c>
      <c r="F973" s="10">
        <v>353836137.89999998</v>
      </c>
      <c r="G973" s="10">
        <v>48758619.799999997</v>
      </c>
      <c r="H973" s="11">
        <v>13.78</v>
      </c>
      <c r="I973" s="11">
        <v>15.36</v>
      </c>
      <c r="J973" s="10">
        <v>5512.36</v>
      </c>
      <c r="K973" s="10">
        <v>16042.21</v>
      </c>
      <c r="L973" s="10">
        <v>353779441.5</v>
      </c>
      <c r="M973" s="10">
        <v>353819918.80000001</v>
      </c>
      <c r="N973" s="10">
        <v>56696.4</v>
      </c>
      <c r="O973" s="10">
        <v>353791123.69999999</v>
      </c>
      <c r="P973" s="10">
        <v>353779644.89999998</v>
      </c>
      <c r="Q973" s="10">
        <v>11478.81</v>
      </c>
      <c r="R973" s="10">
        <v>54349230.780000001</v>
      </c>
      <c r="S973" s="10">
        <v>-5590610.9800000004</v>
      </c>
      <c r="T973" s="10">
        <v>111398.23</v>
      </c>
      <c r="U973" s="10">
        <v>48206.36</v>
      </c>
      <c r="V973" s="10">
        <v>6656.38</v>
      </c>
      <c r="W973" s="10">
        <v>5025.83</v>
      </c>
      <c r="X973" s="10">
        <v>2694.14</v>
      </c>
      <c r="Y973" s="9">
        <v>3773983</v>
      </c>
    </row>
    <row r="974" spans="1:25" ht="16.05" customHeight="1" x14ac:dyDescent="0.3">
      <c r="A974" s="2">
        <v>1570</v>
      </c>
      <c r="B974" s="2">
        <v>23</v>
      </c>
      <c r="C974" s="2">
        <v>2024</v>
      </c>
      <c r="D974" s="3" t="s">
        <v>30</v>
      </c>
      <c r="E974" s="4">
        <v>5105</v>
      </c>
      <c r="F974" s="5">
        <v>216387701.69999999</v>
      </c>
      <c r="G974" s="5">
        <v>36959019.439999998</v>
      </c>
      <c r="H974" s="6">
        <v>17.079999999999998</v>
      </c>
      <c r="I974" s="6">
        <v>9.1999999999999993</v>
      </c>
      <c r="J974" s="5">
        <v>10423.77</v>
      </c>
      <c r="K974" s="5">
        <v>5886.29</v>
      </c>
      <c r="L974" s="5">
        <v>216303152</v>
      </c>
      <c r="M974" s="5">
        <v>216374386.40000001</v>
      </c>
      <c r="N974" s="5">
        <v>84549.69</v>
      </c>
      <c r="O974" s="5">
        <v>216307635.19999999</v>
      </c>
      <c r="P974" s="5">
        <v>216304562.5</v>
      </c>
      <c r="Q974" s="5">
        <v>3072.71</v>
      </c>
      <c r="R974" s="5">
        <v>19907668.550000001</v>
      </c>
      <c r="S974" s="5">
        <v>17051350.890000001</v>
      </c>
      <c r="T974" s="5">
        <v>113252.98</v>
      </c>
      <c r="U974" s="5">
        <v>25005.32</v>
      </c>
      <c r="V974" s="5">
        <v>1685.63</v>
      </c>
      <c r="W974" s="5">
        <v>2797.59</v>
      </c>
      <c r="X974" s="5">
        <v>4489.6000000000004</v>
      </c>
      <c r="Y974" s="4">
        <v>1738730</v>
      </c>
    </row>
    <row r="975" spans="1:25" ht="16.05" customHeight="1" x14ac:dyDescent="0.3">
      <c r="A975" s="7">
        <v>1640</v>
      </c>
      <c r="B975" s="7">
        <v>24</v>
      </c>
      <c r="C975" s="7">
        <v>2024</v>
      </c>
      <c r="D975" s="8" t="s">
        <v>30</v>
      </c>
      <c r="E975" s="9">
        <v>372</v>
      </c>
      <c r="F975" s="10">
        <v>10760935.42</v>
      </c>
      <c r="G975" s="10">
        <v>1785239.19</v>
      </c>
      <c r="H975" s="11">
        <v>16.59</v>
      </c>
      <c r="I975" s="11">
        <v>15.4</v>
      </c>
      <c r="J975" s="10">
        <v>2898.95</v>
      </c>
      <c r="K975" s="10">
        <v>17463.45</v>
      </c>
      <c r="L975" s="10">
        <v>10718803.83</v>
      </c>
      <c r="M975" s="10">
        <v>10735826.42</v>
      </c>
      <c r="N975" s="10">
        <v>42131.59</v>
      </c>
      <c r="O975" s="10">
        <v>10728622.68</v>
      </c>
      <c r="P975" s="10">
        <v>10717892.91</v>
      </c>
      <c r="Q975" s="10">
        <v>10729.77</v>
      </c>
      <c r="R975" s="10">
        <v>1657184.06</v>
      </c>
      <c r="S975" s="10">
        <v>128055.13</v>
      </c>
      <c r="T975" s="10">
        <v>45640.03</v>
      </c>
      <c r="U975" s="10">
        <v>54149.08</v>
      </c>
      <c r="V975" s="10">
        <v>5729.16</v>
      </c>
      <c r="W975" s="10">
        <v>4089.69</v>
      </c>
      <c r="X975" s="10">
        <v>1404.82</v>
      </c>
      <c r="Y975" s="9">
        <v>4052894</v>
      </c>
    </row>
    <row r="976" spans="1:25" ht="16.05" customHeight="1" x14ac:dyDescent="0.3">
      <c r="A976" s="2">
        <v>1710</v>
      </c>
      <c r="B976" s="2">
        <v>25</v>
      </c>
      <c r="C976" s="2">
        <v>2024</v>
      </c>
      <c r="D976" s="3" t="s">
        <v>30</v>
      </c>
      <c r="E976" s="4">
        <v>6781</v>
      </c>
      <c r="F976" s="5">
        <v>459331286.39999998</v>
      </c>
      <c r="G976" s="5">
        <v>58518805.890000001</v>
      </c>
      <c r="H976" s="6">
        <v>12.74</v>
      </c>
      <c r="I976" s="6">
        <v>9.6300000000000008</v>
      </c>
      <c r="J976" s="5">
        <v>10274.61</v>
      </c>
      <c r="K976" s="5">
        <v>7610.3</v>
      </c>
      <c r="L976" s="5">
        <v>459237865.5</v>
      </c>
      <c r="M976" s="5">
        <v>459312301.69999999</v>
      </c>
      <c r="N976" s="5">
        <v>93420.89</v>
      </c>
      <c r="O976" s="5">
        <v>459243966.60000002</v>
      </c>
      <c r="P976" s="5">
        <v>459232628.19999999</v>
      </c>
      <c r="Q976" s="5">
        <v>11338.39</v>
      </c>
      <c r="R976" s="5">
        <v>44233602.880000003</v>
      </c>
      <c r="S976" s="5">
        <v>14285203.01</v>
      </c>
      <c r="T976" s="5">
        <v>42994.87</v>
      </c>
      <c r="U976" s="5">
        <v>51642.95</v>
      </c>
      <c r="V976" s="5">
        <v>3765.45</v>
      </c>
      <c r="W976" s="5">
        <v>2335.65</v>
      </c>
      <c r="X976" s="5">
        <v>4931.21</v>
      </c>
      <c r="Y976" s="4">
        <v>3006881</v>
      </c>
    </row>
    <row r="977" spans="1:25" ht="16.05" customHeight="1" x14ac:dyDescent="0.3">
      <c r="A977" s="7">
        <v>1780</v>
      </c>
      <c r="B977" s="7">
        <v>26</v>
      </c>
      <c r="C977" s="7">
        <v>2024</v>
      </c>
      <c r="D977" s="8" t="s">
        <v>30</v>
      </c>
      <c r="E977" s="9">
        <v>4359</v>
      </c>
      <c r="F977" s="10">
        <v>141369792.80000001</v>
      </c>
      <c r="G977" s="10">
        <v>26690616.879999999</v>
      </c>
      <c r="H977" s="11">
        <v>18.88</v>
      </c>
      <c r="I977" s="11">
        <v>13.57</v>
      </c>
      <c r="J977" s="10">
        <v>5300.19</v>
      </c>
      <c r="K977" s="10">
        <v>14408.22</v>
      </c>
      <c r="L977" s="10">
        <v>141342412</v>
      </c>
      <c r="M977" s="10">
        <v>141359598.40000001</v>
      </c>
      <c r="N977" s="10">
        <v>27380.79</v>
      </c>
      <c r="O977" s="10">
        <v>141351018.19999999</v>
      </c>
      <c r="P977" s="10">
        <v>141341890.90000001</v>
      </c>
      <c r="Q977" s="10">
        <v>9127.35</v>
      </c>
      <c r="R977" s="10">
        <v>19183880.879999999</v>
      </c>
      <c r="S977" s="10">
        <v>7506736</v>
      </c>
      <c r="T977" s="10">
        <v>30217.32</v>
      </c>
      <c r="U977" s="10">
        <v>8221.9599999999991</v>
      </c>
      <c r="V977" s="10">
        <v>4848.67</v>
      </c>
      <c r="W977" s="10">
        <v>3757.56</v>
      </c>
      <c r="X977" s="10">
        <v>3257.31</v>
      </c>
      <c r="Y977" s="9">
        <v>4839102</v>
      </c>
    </row>
    <row r="978" spans="1:25" ht="16.05" customHeight="1" x14ac:dyDescent="0.3">
      <c r="A978" s="2">
        <v>1850</v>
      </c>
      <c r="B978" s="2">
        <v>27</v>
      </c>
      <c r="C978" s="2">
        <v>2024</v>
      </c>
      <c r="D978" s="3" t="s">
        <v>30</v>
      </c>
      <c r="E978" s="4">
        <v>4473</v>
      </c>
      <c r="F978" s="5">
        <v>177145318.59999999</v>
      </c>
      <c r="G978" s="5">
        <v>15907649.609999999</v>
      </c>
      <c r="H978" s="6">
        <v>8.98</v>
      </c>
      <c r="I978" s="6">
        <v>9.01</v>
      </c>
      <c r="J978" s="5">
        <v>7424.3</v>
      </c>
      <c r="K978" s="5">
        <v>4725.8999999999996</v>
      </c>
      <c r="L978" s="5">
        <v>177110033.90000001</v>
      </c>
      <c r="M978" s="5">
        <v>177139308.30000001</v>
      </c>
      <c r="N978" s="5">
        <v>35284.71</v>
      </c>
      <c r="O978" s="5">
        <v>177125755.69999999</v>
      </c>
      <c r="P978" s="5">
        <v>177123178</v>
      </c>
      <c r="Q978" s="5">
        <v>2577.71</v>
      </c>
      <c r="R978" s="5">
        <v>15960793.210000001</v>
      </c>
      <c r="S978" s="5">
        <v>-53143.6</v>
      </c>
      <c r="T978" s="5">
        <v>88690.26</v>
      </c>
      <c r="U978" s="5">
        <v>29270.27</v>
      </c>
      <c r="V978" s="5">
        <v>8478.4</v>
      </c>
      <c r="W978" s="5">
        <v>7243.36</v>
      </c>
      <c r="X978" s="5">
        <v>4738.54</v>
      </c>
      <c r="Y978" s="4">
        <v>4974436</v>
      </c>
    </row>
    <row r="979" spans="1:25" ht="16.05" customHeight="1" x14ac:dyDescent="0.3">
      <c r="A979" s="7">
        <v>1920</v>
      </c>
      <c r="B979" s="7">
        <v>28</v>
      </c>
      <c r="C979" s="7">
        <v>2024</v>
      </c>
      <c r="D979" s="8" t="s">
        <v>30</v>
      </c>
      <c r="E979" s="9">
        <v>4925</v>
      </c>
      <c r="F979" s="10">
        <v>83745783.700000003</v>
      </c>
      <c r="G979" s="10">
        <v>22678358.23</v>
      </c>
      <c r="H979" s="11">
        <v>27.08</v>
      </c>
      <c r="I979" s="11">
        <v>13.14</v>
      </c>
      <c r="J979" s="10">
        <v>1370.69</v>
      </c>
      <c r="K979" s="10">
        <v>14413.48</v>
      </c>
      <c r="L979" s="10">
        <v>83723145.950000003</v>
      </c>
      <c r="M979" s="10">
        <v>83737548.969999999</v>
      </c>
      <c r="N979" s="10">
        <v>22637.75</v>
      </c>
      <c r="O979" s="10">
        <v>83737924</v>
      </c>
      <c r="P979" s="10">
        <v>83728522.799999997</v>
      </c>
      <c r="Q979" s="10">
        <v>9401.2000000000007</v>
      </c>
      <c r="R979" s="10">
        <v>11004195.98</v>
      </c>
      <c r="S979" s="10">
        <v>11674162.25</v>
      </c>
      <c r="T979" s="10">
        <v>86938.38</v>
      </c>
      <c r="U979" s="10">
        <v>15917.66</v>
      </c>
      <c r="V979" s="10">
        <v>7743.94</v>
      </c>
      <c r="W979" s="10">
        <v>7034.11</v>
      </c>
      <c r="X979" s="10">
        <v>1702.48</v>
      </c>
      <c r="Y979" s="9">
        <v>3352581</v>
      </c>
    </row>
    <row r="980" spans="1:25" ht="16.05" customHeight="1" x14ac:dyDescent="0.3">
      <c r="A980" s="2">
        <v>1990</v>
      </c>
      <c r="B980" s="2">
        <v>29</v>
      </c>
      <c r="C980" s="2">
        <v>2024</v>
      </c>
      <c r="D980" s="3" t="s">
        <v>30</v>
      </c>
      <c r="E980" s="4">
        <v>4726</v>
      </c>
      <c r="F980" s="5">
        <v>291238887</v>
      </c>
      <c r="G980" s="5">
        <v>16629740.449999999</v>
      </c>
      <c r="H980" s="6">
        <v>5.71</v>
      </c>
      <c r="I980" s="6">
        <v>13.82</v>
      </c>
      <c r="J980" s="5">
        <v>1814.36</v>
      </c>
      <c r="K980" s="5">
        <v>10731.83</v>
      </c>
      <c r="L980" s="5">
        <v>291171505.60000002</v>
      </c>
      <c r="M980" s="5">
        <v>291218827.19999999</v>
      </c>
      <c r="N980" s="5">
        <v>67381.399999999994</v>
      </c>
      <c r="O980" s="5">
        <v>291182656.69999999</v>
      </c>
      <c r="P980" s="5">
        <v>291180657.19999999</v>
      </c>
      <c r="Q980" s="5">
        <v>1999.56</v>
      </c>
      <c r="R980" s="5">
        <v>40249214.189999998</v>
      </c>
      <c r="S980" s="5">
        <v>-23619473.739999998</v>
      </c>
      <c r="T980" s="5">
        <v>83398.17</v>
      </c>
      <c r="U980" s="5">
        <v>28792.29</v>
      </c>
      <c r="V980" s="5">
        <v>5241.43</v>
      </c>
      <c r="W980" s="5">
        <v>5909.67</v>
      </c>
      <c r="X980" s="5">
        <v>2832.55</v>
      </c>
      <c r="Y980" s="4">
        <v>3019165</v>
      </c>
    </row>
    <row r="981" spans="1:25" ht="16.05" customHeight="1" x14ac:dyDescent="0.3">
      <c r="A981" s="7">
        <v>2060</v>
      </c>
      <c r="B981" s="7">
        <v>30</v>
      </c>
      <c r="C981" s="7">
        <v>2024</v>
      </c>
      <c r="D981" s="8" t="s">
        <v>30</v>
      </c>
      <c r="E981" s="9">
        <v>3893</v>
      </c>
      <c r="F981" s="10">
        <v>116333793.5</v>
      </c>
      <c r="G981" s="10">
        <v>7573329.96</v>
      </c>
      <c r="H981" s="11">
        <v>6.51</v>
      </c>
      <c r="I981" s="11">
        <v>5.74</v>
      </c>
      <c r="J981" s="10">
        <v>13521.51</v>
      </c>
      <c r="K981" s="10">
        <v>15854.09</v>
      </c>
      <c r="L981" s="10">
        <v>116268517.7</v>
      </c>
      <c r="M981" s="10">
        <v>116323254.3</v>
      </c>
      <c r="N981" s="10">
        <v>65275.79</v>
      </c>
      <c r="O981" s="10">
        <v>116276209.59999999</v>
      </c>
      <c r="P981" s="10">
        <v>116270514.3</v>
      </c>
      <c r="Q981" s="10">
        <v>5695.34</v>
      </c>
      <c r="R981" s="10">
        <v>6677559.75</v>
      </c>
      <c r="S981" s="10">
        <v>895770.21</v>
      </c>
      <c r="T981" s="10">
        <v>72656.92</v>
      </c>
      <c r="U981" s="10">
        <v>31415.75</v>
      </c>
      <c r="V981" s="10">
        <v>5056.17</v>
      </c>
      <c r="W981" s="10">
        <v>2635.74</v>
      </c>
      <c r="X981" s="10">
        <v>3724.19</v>
      </c>
      <c r="Y981" s="9">
        <v>3700647</v>
      </c>
    </row>
    <row r="982" spans="1:25" ht="16.05" customHeight="1" x14ac:dyDescent="0.3">
      <c r="A982" s="2">
        <v>2130</v>
      </c>
      <c r="B982" s="2">
        <v>31</v>
      </c>
      <c r="C982" s="2">
        <v>2024</v>
      </c>
      <c r="D982" s="3" t="s">
        <v>30</v>
      </c>
      <c r="E982" s="4">
        <v>489</v>
      </c>
      <c r="F982" s="5">
        <v>33777558.009999998</v>
      </c>
      <c r="G982" s="5">
        <v>2729226.69</v>
      </c>
      <c r="H982" s="6">
        <v>8.08</v>
      </c>
      <c r="I982" s="6">
        <v>14.43</v>
      </c>
      <c r="J982" s="5">
        <v>1555.93</v>
      </c>
      <c r="K982" s="5">
        <v>9833.16</v>
      </c>
      <c r="L982" s="5">
        <v>33764396.25</v>
      </c>
      <c r="M982" s="5">
        <v>33758630.829999998</v>
      </c>
      <c r="N982" s="5">
        <v>13161.76</v>
      </c>
      <c r="O982" s="5">
        <v>33777079.25</v>
      </c>
      <c r="P982" s="5">
        <v>33762908.259999998</v>
      </c>
      <c r="Q982" s="5">
        <v>14170.99</v>
      </c>
      <c r="R982" s="5">
        <v>4874101.62</v>
      </c>
      <c r="S982" s="5">
        <v>-2144874.9300000002</v>
      </c>
      <c r="T982" s="5">
        <v>36446.379999999997</v>
      </c>
      <c r="U982" s="5">
        <v>31880.07</v>
      </c>
      <c r="V982" s="5">
        <v>5846.59</v>
      </c>
      <c r="W982" s="5">
        <v>6836.41</v>
      </c>
      <c r="X982" s="5">
        <v>1913.08</v>
      </c>
      <c r="Y982" s="4">
        <v>4021289</v>
      </c>
    </row>
    <row r="983" spans="1:25" ht="16.05" customHeight="1" x14ac:dyDescent="0.3">
      <c r="A983" s="7">
        <v>2200</v>
      </c>
      <c r="B983" s="7">
        <v>32</v>
      </c>
      <c r="C983" s="7">
        <v>2024</v>
      </c>
      <c r="D983" s="8" t="s">
        <v>30</v>
      </c>
      <c r="E983" s="9">
        <v>2152</v>
      </c>
      <c r="F983" s="10">
        <v>17086892.18</v>
      </c>
      <c r="G983" s="10">
        <v>4789455.88</v>
      </c>
      <c r="H983" s="11">
        <v>28.03</v>
      </c>
      <c r="I983" s="11">
        <v>5.12</v>
      </c>
      <c r="J983" s="10">
        <v>5346.35</v>
      </c>
      <c r="K983" s="10">
        <v>9488.0400000000009</v>
      </c>
      <c r="L983" s="10">
        <v>17031061.420000002</v>
      </c>
      <c r="M983" s="10">
        <v>17067947.489999998</v>
      </c>
      <c r="N983" s="10">
        <v>55830.76</v>
      </c>
      <c r="O983" s="10">
        <v>17037793.050000001</v>
      </c>
      <c r="P983" s="10">
        <v>17031282.620000001</v>
      </c>
      <c r="Q983" s="10">
        <v>6510.43</v>
      </c>
      <c r="R983" s="10">
        <v>874848.88</v>
      </c>
      <c r="S983" s="10">
        <v>3914607</v>
      </c>
      <c r="T983" s="10">
        <v>34326.22</v>
      </c>
      <c r="U983" s="10">
        <v>38444.06</v>
      </c>
      <c r="V983" s="10">
        <v>2642.66</v>
      </c>
      <c r="W983" s="10">
        <v>4088.97</v>
      </c>
      <c r="X983" s="10">
        <v>1618.87</v>
      </c>
      <c r="Y983" s="9">
        <v>3036266</v>
      </c>
    </row>
    <row r="984" spans="1:25" ht="16.05" customHeight="1" x14ac:dyDescent="0.3">
      <c r="A984" s="2">
        <v>2270</v>
      </c>
      <c r="B984" s="2">
        <v>33</v>
      </c>
      <c r="C984" s="2">
        <v>2024</v>
      </c>
      <c r="D984" s="3" t="s">
        <v>30</v>
      </c>
      <c r="E984" s="4">
        <v>1385</v>
      </c>
      <c r="F984" s="5">
        <v>7330288.6799999997</v>
      </c>
      <c r="G984" s="5">
        <v>647264.49</v>
      </c>
      <c r="H984" s="6">
        <v>8.83</v>
      </c>
      <c r="I984" s="6">
        <v>10.47</v>
      </c>
      <c r="J984" s="5">
        <v>7887.42</v>
      </c>
      <c r="K984" s="5">
        <v>16952.04</v>
      </c>
      <c r="L984" s="5">
        <v>7258079.7999999998</v>
      </c>
      <c r="M984" s="5">
        <v>7313024.3200000003</v>
      </c>
      <c r="N984" s="5">
        <v>72208.87</v>
      </c>
      <c r="O984" s="5">
        <v>7270816.5</v>
      </c>
      <c r="P984" s="5">
        <v>7265697.5999999996</v>
      </c>
      <c r="Q984" s="5">
        <v>5118.91</v>
      </c>
      <c r="R984" s="5">
        <v>767481.22</v>
      </c>
      <c r="S984" s="5">
        <v>-120216.73</v>
      </c>
      <c r="T984" s="5">
        <v>112549.81</v>
      </c>
      <c r="U984" s="5">
        <v>27963.360000000001</v>
      </c>
      <c r="V984" s="5">
        <v>8950.93</v>
      </c>
      <c r="W984" s="5">
        <v>3785.77</v>
      </c>
      <c r="X984" s="5">
        <v>2071.5</v>
      </c>
      <c r="Y984" s="4">
        <v>2369463</v>
      </c>
    </row>
    <row r="985" spans="1:25" ht="16.05" customHeight="1" x14ac:dyDescent="0.3">
      <c r="A985" s="7">
        <v>2340</v>
      </c>
      <c r="B985" s="7">
        <v>34</v>
      </c>
      <c r="C985" s="7">
        <v>2024</v>
      </c>
      <c r="D985" s="8" t="s">
        <v>30</v>
      </c>
      <c r="E985" s="9">
        <v>5160</v>
      </c>
      <c r="F985" s="10">
        <v>46895628.630000003</v>
      </c>
      <c r="G985" s="10">
        <v>3034147.17</v>
      </c>
      <c r="H985" s="11">
        <v>6.47</v>
      </c>
      <c r="I985" s="11">
        <v>16.28</v>
      </c>
      <c r="J985" s="10">
        <v>3298.24</v>
      </c>
      <c r="K985" s="10">
        <v>17405.86</v>
      </c>
      <c r="L985" s="10">
        <v>46867217.07</v>
      </c>
      <c r="M985" s="10">
        <v>46873095.909999996</v>
      </c>
      <c r="N985" s="10">
        <v>28411.56</v>
      </c>
      <c r="O985" s="10">
        <v>46877920.020000003</v>
      </c>
      <c r="P985" s="10">
        <v>46876230.210000001</v>
      </c>
      <c r="Q985" s="10">
        <v>1689.81</v>
      </c>
      <c r="R985" s="10">
        <v>7634608.3399999999</v>
      </c>
      <c r="S985" s="10">
        <v>-4600461.17</v>
      </c>
      <c r="T985" s="10">
        <v>99645.63</v>
      </c>
      <c r="U985" s="10">
        <v>33959.01</v>
      </c>
      <c r="V985" s="10">
        <v>4619.9399999999996</v>
      </c>
      <c r="W985" s="10">
        <v>6083.01</v>
      </c>
      <c r="X985" s="10">
        <v>2264.92</v>
      </c>
      <c r="Y985" s="9">
        <v>3514140</v>
      </c>
    </row>
    <row r="986" spans="1:25" ht="16.05" customHeight="1" x14ac:dyDescent="0.3">
      <c r="A986" s="2">
        <v>2410</v>
      </c>
      <c r="B986" s="2">
        <v>35</v>
      </c>
      <c r="C986" s="2">
        <v>2024</v>
      </c>
      <c r="D986" s="3" t="s">
        <v>30</v>
      </c>
      <c r="E986" s="4">
        <v>484</v>
      </c>
      <c r="F986" s="5">
        <v>3814163.62</v>
      </c>
      <c r="G986" s="5">
        <v>1040122.42</v>
      </c>
      <c r="H986" s="6">
        <v>27.27</v>
      </c>
      <c r="I986" s="6">
        <v>6.91</v>
      </c>
      <c r="J986" s="5">
        <v>6953.72</v>
      </c>
      <c r="K986" s="5">
        <v>16135.63</v>
      </c>
      <c r="L986" s="5">
        <v>3760089.81</v>
      </c>
      <c r="M986" s="5">
        <v>3795685.87</v>
      </c>
      <c r="N986" s="5">
        <v>54073.81</v>
      </c>
      <c r="O986" s="5">
        <v>3767226.79</v>
      </c>
      <c r="P986" s="5">
        <v>3760319.03</v>
      </c>
      <c r="Q986" s="5">
        <v>6907.76</v>
      </c>
      <c r="R986" s="5">
        <v>263558.71000000002</v>
      </c>
      <c r="S986" s="5">
        <v>776563.71</v>
      </c>
      <c r="T986" s="5">
        <v>52691.21</v>
      </c>
      <c r="U986" s="5">
        <v>49428.06</v>
      </c>
      <c r="V986" s="5">
        <v>5756.95</v>
      </c>
      <c r="W986" s="5">
        <v>1380.03</v>
      </c>
      <c r="X986" s="5">
        <v>3207.41</v>
      </c>
      <c r="Y986" s="4">
        <v>3847173</v>
      </c>
    </row>
    <row r="987" spans="1:25" ht="16.05" customHeight="1" x14ac:dyDescent="0.3">
      <c r="A987" s="7">
        <v>2480</v>
      </c>
      <c r="B987" s="7">
        <v>36</v>
      </c>
      <c r="C987" s="7">
        <v>2024</v>
      </c>
      <c r="D987" s="8" t="s">
        <v>30</v>
      </c>
      <c r="E987" s="9">
        <v>4140</v>
      </c>
      <c r="F987" s="10">
        <v>166839634.59999999</v>
      </c>
      <c r="G987" s="10">
        <v>45180173.039999999</v>
      </c>
      <c r="H987" s="11">
        <v>27.08</v>
      </c>
      <c r="I987" s="11">
        <v>15.32</v>
      </c>
      <c r="J987" s="10">
        <v>8047.76</v>
      </c>
      <c r="K987" s="10">
        <v>12428.51</v>
      </c>
      <c r="L987" s="10">
        <v>166786511.5</v>
      </c>
      <c r="M987" s="10">
        <v>166827194</v>
      </c>
      <c r="N987" s="10">
        <v>53123.040000000001</v>
      </c>
      <c r="O987" s="10">
        <v>166792166.90000001</v>
      </c>
      <c r="P987" s="10">
        <v>166784194.59999999</v>
      </c>
      <c r="Q987" s="10">
        <v>7972.33</v>
      </c>
      <c r="R987" s="10">
        <v>25559832.010000002</v>
      </c>
      <c r="S987" s="10">
        <v>19620341.02</v>
      </c>
      <c r="T987" s="10">
        <v>43374.67</v>
      </c>
      <c r="U987" s="10">
        <v>11572.92</v>
      </c>
      <c r="V987" s="10">
        <v>2438.4899999999998</v>
      </c>
      <c r="W987" s="10">
        <v>3216.87</v>
      </c>
      <c r="X987" s="10">
        <v>4541.16</v>
      </c>
      <c r="Y987" s="9">
        <v>2677950</v>
      </c>
    </row>
    <row r="988" spans="1:25" ht="16.05" customHeight="1" x14ac:dyDescent="0.3">
      <c r="A988" s="2">
        <v>2550</v>
      </c>
      <c r="B988" s="2">
        <v>37</v>
      </c>
      <c r="C988" s="2">
        <v>2024</v>
      </c>
      <c r="D988" s="3" t="s">
        <v>30</v>
      </c>
      <c r="E988" s="4">
        <v>2986</v>
      </c>
      <c r="F988" s="5">
        <v>136043642.19999999</v>
      </c>
      <c r="G988" s="5">
        <v>30705050.050000001</v>
      </c>
      <c r="H988" s="6">
        <v>22.57</v>
      </c>
      <c r="I988" s="6">
        <v>7.75</v>
      </c>
      <c r="J988" s="5">
        <v>2574.5300000000002</v>
      </c>
      <c r="K988" s="5">
        <v>12485.21</v>
      </c>
      <c r="L988" s="5">
        <v>136003528.40000001</v>
      </c>
      <c r="M988" s="5">
        <v>136030411.69999999</v>
      </c>
      <c r="N988" s="5">
        <v>40113.769999999997</v>
      </c>
      <c r="O988" s="5">
        <v>136022455.19999999</v>
      </c>
      <c r="P988" s="5">
        <v>136008784.09999999</v>
      </c>
      <c r="Q988" s="5">
        <v>13671.07</v>
      </c>
      <c r="R988" s="5">
        <v>10543382.27</v>
      </c>
      <c r="S988" s="5">
        <v>20161667.780000001</v>
      </c>
      <c r="T988" s="5">
        <v>101112.29</v>
      </c>
      <c r="U988" s="5">
        <v>43475.7</v>
      </c>
      <c r="V988" s="5">
        <v>11384.89</v>
      </c>
      <c r="W988" s="5">
        <v>7541.87</v>
      </c>
      <c r="X988" s="5">
        <v>4124.43</v>
      </c>
      <c r="Y988" s="4">
        <v>4687065</v>
      </c>
    </row>
    <row r="989" spans="1:25" ht="16.05" customHeight="1" x14ac:dyDescent="0.3">
      <c r="A989" s="7">
        <v>2620</v>
      </c>
      <c r="B989" s="7">
        <v>38</v>
      </c>
      <c r="C989" s="7">
        <v>2024</v>
      </c>
      <c r="D989" s="8" t="s">
        <v>30</v>
      </c>
      <c r="E989" s="9">
        <v>5417</v>
      </c>
      <c r="F989" s="10">
        <v>248899906.40000001</v>
      </c>
      <c r="G989" s="10">
        <v>55380229.170000002</v>
      </c>
      <c r="H989" s="11">
        <v>22.25</v>
      </c>
      <c r="I989" s="11">
        <v>12.98</v>
      </c>
      <c r="J989" s="10">
        <v>10666.9</v>
      </c>
      <c r="K989" s="10">
        <v>13143.31</v>
      </c>
      <c r="L989" s="10">
        <v>248848305.59999999</v>
      </c>
      <c r="M989" s="10">
        <v>248886897.90000001</v>
      </c>
      <c r="N989" s="10">
        <v>51600.83</v>
      </c>
      <c r="O989" s="10">
        <v>248859333.59999999</v>
      </c>
      <c r="P989" s="10">
        <v>248848881.09999999</v>
      </c>
      <c r="Q989" s="10">
        <v>10452.540000000001</v>
      </c>
      <c r="R989" s="10">
        <v>32307207.850000001</v>
      </c>
      <c r="S989" s="10">
        <v>23073021.32</v>
      </c>
      <c r="T989" s="10">
        <v>64772.02</v>
      </c>
      <c r="U989" s="10">
        <v>21966.39</v>
      </c>
      <c r="V989" s="10">
        <v>9729.8700000000008</v>
      </c>
      <c r="W989" s="10">
        <v>1298.1600000000001</v>
      </c>
      <c r="X989" s="10">
        <v>2468.11</v>
      </c>
      <c r="Y989" s="9">
        <v>2343389</v>
      </c>
    </row>
    <row r="990" spans="1:25" ht="16.05" customHeight="1" x14ac:dyDescent="0.3">
      <c r="A990" s="2">
        <v>2690</v>
      </c>
      <c r="B990" s="2">
        <v>39</v>
      </c>
      <c r="C990" s="2">
        <v>2024</v>
      </c>
      <c r="D990" s="3" t="s">
        <v>30</v>
      </c>
      <c r="E990" s="4">
        <v>5205</v>
      </c>
      <c r="F990" s="5">
        <v>140132268.09999999</v>
      </c>
      <c r="G990" s="5">
        <v>35411424.159999996</v>
      </c>
      <c r="H990" s="6">
        <v>25.27</v>
      </c>
      <c r="I990" s="6">
        <v>16.399999999999999</v>
      </c>
      <c r="J990" s="5">
        <v>3395.41</v>
      </c>
      <c r="K990" s="5">
        <v>14859.99</v>
      </c>
      <c r="L990" s="5">
        <v>140045309.69999999</v>
      </c>
      <c r="M990" s="5">
        <v>140120908</v>
      </c>
      <c r="N990" s="5">
        <v>86958.38</v>
      </c>
      <c r="O990" s="5">
        <v>140051581.09999999</v>
      </c>
      <c r="P990" s="5">
        <v>140049504.90000001</v>
      </c>
      <c r="Q990" s="5">
        <v>2076.1999999999998</v>
      </c>
      <c r="R990" s="5">
        <v>22981691.969999999</v>
      </c>
      <c r="S990" s="5">
        <v>12429732.18</v>
      </c>
      <c r="T990" s="5">
        <v>82300.13</v>
      </c>
      <c r="U990" s="5">
        <v>33951.480000000003</v>
      </c>
      <c r="V990" s="5">
        <v>2742.52</v>
      </c>
      <c r="W990" s="5">
        <v>3528.83</v>
      </c>
      <c r="X990" s="5">
        <v>4871.1099999999997</v>
      </c>
      <c r="Y990" s="4">
        <v>1301681</v>
      </c>
    </row>
    <row r="991" spans="1:25" ht="16.05" customHeight="1" x14ac:dyDescent="0.3">
      <c r="A991" s="7">
        <v>2760</v>
      </c>
      <c r="B991" s="7">
        <v>40</v>
      </c>
      <c r="C991" s="7">
        <v>2024</v>
      </c>
      <c r="D991" s="8" t="s">
        <v>30</v>
      </c>
      <c r="E991" s="9">
        <v>3074</v>
      </c>
      <c r="F991" s="10">
        <v>157175367.40000001</v>
      </c>
      <c r="G991" s="10">
        <v>29313206.02</v>
      </c>
      <c r="H991" s="11">
        <v>18.649999999999999</v>
      </c>
      <c r="I991" s="11">
        <v>10.07</v>
      </c>
      <c r="J991" s="10">
        <v>1665.81</v>
      </c>
      <c r="K991" s="10">
        <v>18294.849999999999</v>
      </c>
      <c r="L991" s="10">
        <v>157123106.30000001</v>
      </c>
      <c r="M991" s="10">
        <v>157160367.40000001</v>
      </c>
      <c r="N991" s="10">
        <v>52261.09</v>
      </c>
      <c r="O991" s="10">
        <v>157137490.80000001</v>
      </c>
      <c r="P991" s="10">
        <v>157127768.90000001</v>
      </c>
      <c r="Q991" s="10">
        <v>9721.8700000000008</v>
      </c>
      <c r="R991" s="10">
        <v>15827559.5</v>
      </c>
      <c r="S991" s="10">
        <v>13485646.52</v>
      </c>
      <c r="T991" s="10">
        <v>96735.8</v>
      </c>
      <c r="U991" s="10">
        <v>17568.099999999999</v>
      </c>
      <c r="V991" s="10">
        <v>11690.44</v>
      </c>
      <c r="W991" s="10">
        <v>2694.04</v>
      </c>
      <c r="X991" s="10">
        <v>4210.1400000000003</v>
      </c>
      <c r="Y991" s="9">
        <v>4695999</v>
      </c>
    </row>
    <row r="992" spans="1:25" ht="16.05" customHeight="1" x14ac:dyDescent="0.3">
      <c r="A992" s="2">
        <v>2830</v>
      </c>
      <c r="B992" s="2">
        <v>41</v>
      </c>
      <c r="C992" s="2">
        <v>2024</v>
      </c>
      <c r="D992" s="3" t="s">
        <v>30</v>
      </c>
      <c r="E992" s="4">
        <v>1055</v>
      </c>
      <c r="F992" s="5">
        <v>5891065.6699999999</v>
      </c>
      <c r="G992" s="5">
        <v>1033882.02</v>
      </c>
      <c r="H992" s="6">
        <v>17.55</v>
      </c>
      <c r="I992" s="6">
        <v>13.56</v>
      </c>
      <c r="J992" s="5">
        <v>13433.5</v>
      </c>
      <c r="K992" s="5">
        <v>18702.439999999999</v>
      </c>
      <c r="L992" s="5">
        <v>5795062.7999999998</v>
      </c>
      <c r="M992" s="5">
        <v>5875058.3499999996</v>
      </c>
      <c r="N992" s="5">
        <v>96002.87</v>
      </c>
      <c r="O992" s="5">
        <v>5810928.5700000003</v>
      </c>
      <c r="P992" s="5">
        <v>5798496.0800000001</v>
      </c>
      <c r="Q992" s="5">
        <v>12432.49</v>
      </c>
      <c r="R992" s="5">
        <v>798828.5</v>
      </c>
      <c r="S992" s="5">
        <v>235053.52</v>
      </c>
      <c r="T992" s="5">
        <v>93615.6</v>
      </c>
      <c r="U992" s="5">
        <v>56099.24</v>
      </c>
      <c r="V992" s="5">
        <v>10031.43</v>
      </c>
      <c r="W992" s="5">
        <v>5834.34</v>
      </c>
      <c r="X992" s="5">
        <v>1977.07</v>
      </c>
      <c r="Y992" s="4">
        <v>3529403</v>
      </c>
    </row>
    <row r="993" spans="1:25" ht="16.05" customHeight="1" x14ac:dyDescent="0.3">
      <c r="A993" s="7">
        <v>2900</v>
      </c>
      <c r="B993" s="7">
        <v>42</v>
      </c>
      <c r="C993" s="7">
        <v>2024</v>
      </c>
      <c r="D993" s="8" t="s">
        <v>30</v>
      </c>
      <c r="E993" s="9">
        <v>909</v>
      </c>
      <c r="F993" s="10">
        <v>55024778.210000001</v>
      </c>
      <c r="G993" s="10">
        <v>13167429.42</v>
      </c>
      <c r="H993" s="11">
        <v>23.93</v>
      </c>
      <c r="I993" s="11">
        <v>18.440000000000001</v>
      </c>
      <c r="J993" s="10">
        <v>12451.84</v>
      </c>
      <c r="K993" s="10">
        <v>17925.45</v>
      </c>
      <c r="L993" s="10">
        <v>54955070.869999997</v>
      </c>
      <c r="M993" s="10">
        <v>55020184.100000001</v>
      </c>
      <c r="N993" s="10">
        <v>69707.34</v>
      </c>
      <c r="O993" s="10">
        <v>54960936.009999998</v>
      </c>
      <c r="P993" s="10">
        <v>54950199.850000001</v>
      </c>
      <c r="Q993" s="10">
        <v>10736.16</v>
      </c>
      <c r="R993" s="10">
        <v>10146569.1</v>
      </c>
      <c r="S993" s="10">
        <v>3020860.32</v>
      </c>
      <c r="T993" s="10">
        <v>50606.66</v>
      </c>
      <c r="U993" s="10">
        <v>29313.9</v>
      </c>
      <c r="V993" s="10">
        <v>4030.54</v>
      </c>
      <c r="W993" s="10">
        <v>1834.6</v>
      </c>
      <c r="X993" s="10">
        <v>2259.9499999999998</v>
      </c>
      <c r="Y993" s="9">
        <v>1670804</v>
      </c>
    </row>
    <row r="994" spans="1:25" ht="16.05" customHeight="1" x14ac:dyDescent="0.3">
      <c r="A994" s="2">
        <v>2970</v>
      </c>
      <c r="B994" s="2">
        <v>43</v>
      </c>
      <c r="C994" s="2">
        <v>2024</v>
      </c>
      <c r="D994" s="3" t="s">
        <v>30</v>
      </c>
      <c r="E994" s="4">
        <v>4636</v>
      </c>
      <c r="F994" s="5">
        <v>125838516.59999999</v>
      </c>
      <c r="G994" s="5">
        <v>16182833.24</v>
      </c>
      <c r="H994" s="6">
        <v>12.86</v>
      </c>
      <c r="I994" s="6">
        <v>13.9</v>
      </c>
      <c r="J994" s="5">
        <v>5693.12</v>
      </c>
      <c r="K994" s="5">
        <v>7308.54</v>
      </c>
      <c r="L994" s="5">
        <v>125802274.40000001</v>
      </c>
      <c r="M994" s="5">
        <v>125816915.59999999</v>
      </c>
      <c r="N994" s="5">
        <v>36242.26</v>
      </c>
      <c r="O994" s="5">
        <v>125808494.5</v>
      </c>
      <c r="P994" s="5">
        <v>125794764.5</v>
      </c>
      <c r="Q994" s="5">
        <v>13729.98</v>
      </c>
      <c r="R994" s="5">
        <v>17491553.809999999</v>
      </c>
      <c r="S994" s="5">
        <v>-1308720.57</v>
      </c>
      <c r="T994" s="5">
        <v>11014.42</v>
      </c>
      <c r="U994" s="5">
        <v>19891.52</v>
      </c>
      <c r="V994" s="5">
        <v>1117.72</v>
      </c>
      <c r="W994" s="5">
        <v>5102.37</v>
      </c>
      <c r="X994" s="5">
        <v>4259.28</v>
      </c>
      <c r="Y994" s="4">
        <v>1098487</v>
      </c>
    </row>
    <row r="995" spans="1:25" ht="16.05" customHeight="1" x14ac:dyDescent="0.3">
      <c r="A995" s="7">
        <v>3040</v>
      </c>
      <c r="B995" s="7">
        <v>44</v>
      </c>
      <c r="C995" s="7">
        <v>2024</v>
      </c>
      <c r="D995" s="8" t="s">
        <v>30</v>
      </c>
      <c r="E995" s="9">
        <v>4134</v>
      </c>
      <c r="F995" s="10">
        <v>41349659.119999997</v>
      </c>
      <c r="G995" s="10">
        <v>12165069.710000001</v>
      </c>
      <c r="H995" s="11">
        <v>29.42</v>
      </c>
      <c r="I995" s="11">
        <v>19.489999999999998</v>
      </c>
      <c r="J995" s="10">
        <v>11391.85</v>
      </c>
      <c r="K995" s="10">
        <v>14808.94</v>
      </c>
      <c r="L995" s="10">
        <v>41291966.530000001</v>
      </c>
      <c r="M995" s="10">
        <v>41337129.079999998</v>
      </c>
      <c r="N995" s="10">
        <v>57692.59</v>
      </c>
      <c r="O995" s="10">
        <v>41305229.039999999</v>
      </c>
      <c r="P995" s="10">
        <v>41301622.090000004</v>
      </c>
      <c r="Q995" s="10">
        <v>3606.95</v>
      </c>
      <c r="R995" s="10">
        <v>8059048.5599999996</v>
      </c>
      <c r="S995" s="10">
        <v>4106021.15</v>
      </c>
      <c r="T995" s="10">
        <v>91211.08</v>
      </c>
      <c r="U995" s="10">
        <v>52566.28</v>
      </c>
      <c r="V995" s="10">
        <v>7063.97</v>
      </c>
      <c r="W995" s="10">
        <v>6198.54</v>
      </c>
      <c r="X995" s="10">
        <v>3132.6</v>
      </c>
      <c r="Y995" s="9">
        <v>1865480</v>
      </c>
    </row>
    <row r="996" spans="1:25" ht="16.05" customHeight="1" x14ac:dyDescent="0.3">
      <c r="A996" s="2">
        <v>3110</v>
      </c>
      <c r="B996" s="2">
        <v>45</v>
      </c>
      <c r="C996" s="2">
        <v>2024</v>
      </c>
      <c r="D996" s="3" t="s">
        <v>30</v>
      </c>
      <c r="E996" s="4">
        <v>426</v>
      </c>
      <c r="F996" s="5">
        <v>8049195.7999999998</v>
      </c>
      <c r="G996" s="5">
        <v>619788.07999999996</v>
      </c>
      <c r="H996" s="6">
        <v>7.7</v>
      </c>
      <c r="I996" s="6">
        <v>8.64</v>
      </c>
      <c r="J996" s="5">
        <v>5202.7</v>
      </c>
      <c r="K996" s="5">
        <v>12517.07</v>
      </c>
      <c r="L996" s="5">
        <v>7967208.8700000001</v>
      </c>
      <c r="M996" s="5">
        <v>8029193.7800000003</v>
      </c>
      <c r="N996" s="5">
        <v>81986.929999999993</v>
      </c>
      <c r="O996" s="5">
        <v>7972061.96</v>
      </c>
      <c r="P996" s="5">
        <v>7961752.79</v>
      </c>
      <c r="Q996" s="5">
        <v>10309.17</v>
      </c>
      <c r="R996" s="5">
        <v>695450.52</v>
      </c>
      <c r="S996" s="5">
        <v>-75662.44</v>
      </c>
      <c r="T996" s="5">
        <v>103443</v>
      </c>
      <c r="U996" s="5">
        <v>37124.879999999997</v>
      </c>
      <c r="V996" s="5">
        <v>1673.27</v>
      </c>
      <c r="W996" s="5">
        <v>3179.82</v>
      </c>
      <c r="X996" s="5">
        <v>4892.58</v>
      </c>
      <c r="Y996" s="4">
        <v>2836710</v>
      </c>
    </row>
    <row r="997" spans="1:25" ht="16.05" customHeight="1" x14ac:dyDescent="0.3">
      <c r="A997" s="7">
        <v>3180</v>
      </c>
      <c r="B997" s="7">
        <v>46</v>
      </c>
      <c r="C997" s="7">
        <v>2024</v>
      </c>
      <c r="D997" s="8" t="s">
        <v>30</v>
      </c>
      <c r="E997" s="9">
        <v>5410</v>
      </c>
      <c r="F997" s="10">
        <v>270489292.69999999</v>
      </c>
      <c r="G997" s="10">
        <v>36353760.939999998</v>
      </c>
      <c r="H997" s="11">
        <v>13.44</v>
      </c>
      <c r="I997" s="11">
        <v>7</v>
      </c>
      <c r="J997" s="10">
        <v>5767.83</v>
      </c>
      <c r="K997" s="10">
        <v>6680.29</v>
      </c>
      <c r="L997" s="10">
        <v>270390099.60000002</v>
      </c>
      <c r="M997" s="10">
        <v>270483902.19999999</v>
      </c>
      <c r="N997" s="10">
        <v>99193.1</v>
      </c>
      <c r="O997" s="10">
        <v>270393334.80000001</v>
      </c>
      <c r="P997" s="10">
        <v>270382769.80000001</v>
      </c>
      <c r="Q997" s="10">
        <v>10564.96</v>
      </c>
      <c r="R997" s="10">
        <v>18934250.489999998</v>
      </c>
      <c r="S997" s="10">
        <v>17419510.449999999</v>
      </c>
      <c r="T997" s="10">
        <v>59523.46</v>
      </c>
      <c r="U997" s="10">
        <v>31911.81</v>
      </c>
      <c r="V997" s="10">
        <v>1103.83</v>
      </c>
      <c r="W997" s="10">
        <v>2131.36</v>
      </c>
      <c r="X997" s="10">
        <v>3850.86</v>
      </c>
      <c r="Y997" s="9">
        <v>1086123</v>
      </c>
    </row>
    <row r="998" spans="1:25" ht="16.05" customHeight="1" x14ac:dyDescent="0.3">
      <c r="A998" s="2">
        <v>3250</v>
      </c>
      <c r="B998" s="2">
        <v>47</v>
      </c>
      <c r="C998" s="2">
        <v>2024</v>
      </c>
      <c r="D998" s="3" t="s">
        <v>30</v>
      </c>
      <c r="E998" s="4">
        <v>6212</v>
      </c>
      <c r="F998" s="5">
        <v>61145547.350000001</v>
      </c>
      <c r="G998" s="5">
        <v>17811697.940000001</v>
      </c>
      <c r="H998" s="6">
        <v>29.13</v>
      </c>
      <c r="I998" s="6">
        <v>11.29</v>
      </c>
      <c r="J998" s="5">
        <v>10684.17</v>
      </c>
      <c r="K998" s="5">
        <v>15770.12</v>
      </c>
      <c r="L998" s="5">
        <v>61122432.5</v>
      </c>
      <c r="M998" s="5">
        <v>61128250.329999998</v>
      </c>
      <c r="N998" s="5">
        <v>23114.85</v>
      </c>
      <c r="O998" s="5">
        <v>61134600.490000002</v>
      </c>
      <c r="P998" s="5">
        <v>61128561.170000002</v>
      </c>
      <c r="Q998" s="5">
        <v>6039.32</v>
      </c>
      <c r="R998" s="5">
        <v>6903332.2999999998</v>
      </c>
      <c r="S998" s="5">
        <v>10908365.65</v>
      </c>
      <c r="T998" s="5">
        <v>39323.519999999997</v>
      </c>
      <c r="U998" s="5">
        <v>30636.61</v>
      </c>
      <c r="V998" s="5">
        <v>5368.46</v>
      </c>
      <c r="W998" s="5">
        <v>6799.53</v>
      </c>
      <c r="X998" s="5">
        <v>4537.72</v>
      </c>
      <c r="Y998" s="4">
        <v>4298304</v>
      </c>
    </row>
    <row r="999" spans="1:25" ht="16.05" customHeight="1" x14ac:dyDescent="0.3">
      <c r="A999" s="7">
        <v>3320</v>
      </c>
      <c r="B999" s="7">
        <v>48</v>
      </c>
      <c r="C999" s="7">
        <v>2024</v>
      </c>
      <c r="D999" s="8" t="s">
        <v>30</v>
      </c>
      <c r="E999" s="9">
        <v>2737</v>
      </c>
      <c r="F999" s="10">
        <v>134018774.90000001</v>
      </c>
      <c r="G999" s="10">
        <v>27969718.329999998</v>
      </c>
      <c r="H999" s="11">
        <v>20.87</v>
      </c>
      <c r="I999" s="11">
        <v>19.649999999999999</v>
      </c>
      <c r="J999" s="10">
        <v>7336.48</v>
      </c>
      <c r="K999" s="10">
        <v>16642.59</v>
      </c>
      <c r="L999" s="10">
        <v>133920705</v>
      </c>
      <c r="M999" s="10">
        <v>134011189.90000001</v>
      </c>
      <c r="N999" s="10">
        <v>98069.93</v>
      </c>
      <c r="O999" s="10">
        <v>133938530.90000001</v>
      </c>
      <c r="P999" s="10">
        <v>133930314.7</v>
      </c>
      <c r="Q999" s="10">
        <v>8216.19</v>
      </c>
      <c r="R999" s="10">
        <v>26334689.280000001</v>
      </c>
      <c r="S999" s="10">
        <v>1635029.05</v>
      </c>
      <c r="T999" s="10">
        <v>116033.88</v>
      </c>
      <c r="U999" s="10">
        <v>35817.39</v>
      </c>
      <c r="V999" s="10">
        <v>11490.96</v>
      </c>
      <c r="W999" s="10">
        <v>6334.91</v>
      </c>
      <c r="X999" s="10">
        <v>1159.74</v>
      </c>
      <c r="Y999" s="9">
        <v>4555210</v>
      </c>
    </row>
    <row r="1000" spans="1:25" ht="16.05" customHeight="1" x14ac:dyDescent="0.3">
      <c r="A1000" s="2">
        <v>3390</v>
      </c>
      <c r="B1000" s="2">
        <v>49</v>
      </c>
      <c r="C1000" s="2">
        <v>2024</v>
      </c>
      <c r="D1000" s="3" t="s">
        <v>30</v>
      </c>
      <c r="E1000" s="4">
        <v>442</v>
      </c>
      <c r="F1000" s="5">
        <v>17249347.760000002</v>
      </c>
      <c r="G1000" s="5">
        <v>5128231.09</v>
      </c>
      <c r="H1000" s="6">
        <v>29.73</v>
      </c>
      <c r="I1000" s="6">
        <v>5.49</v>
      </c>
      <c r="J1000" s="5">
        <v>11440.77</v>
      </c>
      <c r="K1000" s="5">
        <v>7215.73</v>
      </c>
      <c r="L1000" s="5">
        <v>17212951.800000001</v>
      </c>
      <c r="M1000" s="5">
        <v>17235053.620000001</v>
      </c>
      <c r="N1000" s="5">
        <v>36395.96</v>
      </c>
      <c r="O1000" s="5">
        <v>17230099.600000001</v>
      </c>
      <c r="P1000" s="5">
        <v>17225602.239999998</v>
      </c>
      <c r="Q1000" s="5">
        <v>4497.3599999999997</v>
      </c>
      <c r="R1000" s="5">
        <v>946989.19</v>
      </c>
      <c r="S1000" s="5">
        <v>4181241.9</v>
      </c>
      <c r="T1000" s="5">
        <v>36834.99</v>
      </c>
      <c r="U1000" s="5">
        <v>47618.89</v>
      </c>
      <c r="V1000" s="5">
        <v>11127.27</v>
      </c>
      <c r="W1000" s="5">
        <v>6020.53</v>
      </c>
      <c r="X1000" s="5">
        <v>3007.76</v>
      </c>
      <c r="Y1000" s="4">
        <v>1427239</v>
      </c>
    </row>
    <row r="1001" spans="1:25" ht="16.05" customHeight="1" x14ac:dyDescent="0.3">
      <c r="A1001" s="7">
        <v>3460</v>
      </c>
      <c r="B1001" s="7">
        <v>50</v>
      </c>
      <c r="C1001" s="7">
        <v>2024</v>
      </c>
      <c r="D1001" s="8" t="s">
        <v>30</v>
      </c>
      <c r="E1001" s="9">
        <v>6144</v>
      </c>
      <c r="F1001" s="10">
        <v>176528127.59999999</v>
      </c>
      <c r="G1001" s="10">
        <v>49021861.039999999</v>
      </c>
      <c r="H1001" s="11">
        <v>27.77</v>
      </c>
      <c r="I1001" s="11">
        <v>13.25</v>
      </c>
      <c r="J1001" s="10">
        <v>6479.87</v>
      </c>
      <c r="K1001" s="10">
        <v>12466.61</v>
      </c>
      <c r="L1001" s="10">
        <v>176429971.5</v>
      </c>
      <c r="M1001" s="10">
        <v>176512102.09999999</v>
      </c>
      <c r="N1001" s="10">
        <v>98156.08</v>
      </c>
      <c r="O1001" s="10">
        <v>176438301.19999999</v>
      </c>
      <c r="P1001" s="10">
        <v>176432960.19999999</v>
      </c>
      <c r="Q1001" s="10">
        <v>5341.09</v>
      </c>
      <c r="R1001" s="10">
        <v>23389976.91</v>
      </c>
      <c r="S1001" s="10">
        <v>25631884.129999999</v>
      </c>
      <c r="T1001" s="10">
        <v>59462.27</v>
      </c>
      <c r="U1001" s="10">
        <v>58444.58</v>
      </c>
      <c r="V1001" s="10">
        <v>7412.03</v>
      </c>
      <c r="W1001" s="10">
        <v>917.67</v>
      </c>
      <c r="X1001" s="10">
        <v>3489.48</v>
      </c>
      <c r="Y1001" s="9">
        <v>3068198</v>
      </c>
    </row>
    <row r="1002" spans="1:25" ht="16.05" customHeight="1" x14ac:dyDescent="0.3">
      <c r="A1002" s="2">
        <v>20</v>
      </c>
      <c r="B1002" s="2">
        <v>1</v>
      </c>
      <c r="C1002" s="2">
        <v>2024</v>
      </c>
      <c r="D1002" s="3" t="s">
        <v>31</v>
      </c>
      <c r="E1002" s="4">
        <v>4593</v>
      </c>
      <c r="F1002" s="5">
        <v>116000321.7</v>
      </c>
      <c r="G1002" s="5">
        <v>31273686.73</v>
      </c>
      <c r="H1002" s="6">
        <v>26.96</v>
      </c>
      <c r="I1002" s="6">
        <v>10.79</v>
      </c>
      <c r="J1002" s="5">
        <v>12699.23</v>
      </c>
      <c r="K1002" s="5">
        <v>6051.11</v>
      </c>
      <c r="L1002" s="5">
        <v>115978976.5</v>
      </c>
      <c r="M1002" s="5">
        <v>115981131.40000001</v>
      </c>
      <c r="N1002" s="5">
        <v>21345.21</v>
      </c>
      <c r="O1002" s="5">
        <v>115990287.3</v>
      </c>
      <c r="P1002" s="5">
        <v>115987233.40000001</v>
      </c>
      <c r="Q1002" s="5">
        <v>3053.85</v>
      </c>
      <c r="R1002" s="5">
        <v>12516434.710000001</v>
      </c>
      <c r="S1002" s="5">
        <v>18757252.02</v>
      </c>
      <c r="T1002" s="5">
        <v>44721.66</v>
      </c>
      <c r="U1002" s="5">
        <v>9225.75</v>
      </c>
      <c r="V1002" s="5">
        <v>5128.21</v>
      </c>
      <c r="W1002" s="5">
        <v>6182.56</v>
      </c>
      <c r="X1002" s="5">
        <v>4325.28</v>
      </c>
      <c r="Y1002" s="4">
        <v>1768988</v>
      </c>
    </row>
    <row r="1003" spans="1:25" ht="16.05" customHeight="1" x14ac:dyDescent="0.3">
      <c r="A1003" s="7">
        <v>90</v>
      </c>
      <c r="B1003" s="7">
        <v>2</v>
      </c>
      <c r="C1003" s="7">
        <v>2024</v>
      </c>
      <c r="D1003" s="8" t="s">
        <v>31</v>
      </c>
      <c r="E1003" s="9">
        <v>2049</v>
      </c>
      <c r="F1003" s="10">
        <v>97682080.650000006</v>
      </c>
      <c r="G1003" s="10">
        <v>6046520.79</v>
      </c>
      <c r="H1003" s="11">
        <v>6.19</v>
      </c>
      <c r="I1003" s="11">
        <v>7</v>
      </c>
      <c r="J1003" s="10">
        <v>13403.85</v>
      </c>
      <c r="K1003" s="10">
        <v>9316.75</v>
      </c>
      <c r="L1003" s="10">
        <v>97602606.540000007</v>
      </c>
      <c r="M1003" s="10">
        <v>97666211.299999997</v>
      </c>
      <c r="N1003" s="10">
        <v>79474.11</v>
      </c>
      <c r="O1003" s="10">
        <v>97609005.030000001</v>
      </c>
      <c r="P1003" s="10">
        <v>97599550.930000007</v>
      </c>
      <c r="Q1003" s="10">
        <v>9454.1</v>
      </c>
      <c r="R1003" s="10">
        <v>6837745.6500000004</v>
      </c>
      <c r="S1003" s="10">
        <v>-791224.85</v>
      </c>
      <c r="T1003" s="10">
        <v>102890.41</v>
      </c>
      <c r="U1003" s="10">
        <v>41364.86</v>
      </c>
      <c r="V1003" s="10">
        <v>3493.23</v>
      </c>
      <c r="W1003" s="10">
        <v>2905.26</v>
      </c>
      <c r="X1003" s="10">
        <v>3749.83</v>
      </c>
      <c r="Y1003" s="9">
        <v>3005617</v>
      </c>
    </row>
    <row r="1004" spans="1:25" ht="16.05" customHeight="1" x14ac:dyDescent="0.3">
      <c r="A1004" s="2">
        <v>160</v>
      </c>
      <c r="B1004" s="2">
        <v>3</v>
      </c>
      <c r="C1004" s="2">
        <v>2024</v>
      </c>
      <c r="D1004" s="3" t="s">
        <v>31</v>
      </c>
      <c r="E1004" s="4">
        <v>4448</v>
      </c>
      <c r="F1004" s="5">
        <v>287034618</v>
      </c>
      <c r="G1004" s="5">
        <v>53905101.25</v>
      </c>
      <c r="H1004" s="6">
        <v>18.78</v>
      </c>
      <c r="I1004" s="6">
        <v>10.84</v>
      </c>
      <c r="J1004" s="5">
        <v>12496.31</v>
      </c>
      <c r="K1004" s="5">
        <v>7716.09</v>
      </c>
      <c r="L1004" s="5">
        <v>287001489.89999998</v>
      </c>
      <c r="M1004" s="5">
        <v>287013506.5</v>
      </c>
      <c r="N1004" s="5">
        <v>33128.07</v>
      </c>
      <c r="O1004" s="5">
        <v>287008803.80000001</v>
      </c>
      <c r="P1004" s="5">
        <v>287004553.19999999</v>
      </c>
      <c r="Q1004" s="5">
        <v>4250.59</v>
      </c>
      <c r="R1004" s="5">
        <v>31114552.59</v>
      </c>
      <c r="S1004" s="5">
        <v>22790548.670000002</v>
      </c>
      <c r="T1004" s="5">
        <v>96186.12</v>
      </c>
      <c r="U1004" s="5">
        <v>47940.87</v>
      </c>
      <c r="V1004" s="5">
        <v>2960.4</v>
      </c>
      <c r="W1004" s="5">
        <v>4353.53</v>
      </c>
      <c r="X1004" s="5">
        <v>1002.77</v>
      </c>
      <c r="Y1004" s="4">
        <v>2064593</v>
      </c>
    </row>
    <row r="1005" spans="1:25" ht="16.05" customHeight="1" x14ac:dyDescent="0.3">
      <c r="A1005" s="7">
        <v>230</v>
      </c>
      <c r="B1005" s="7">
        <v>4</v>
      </c>
      <c r="C1005" s="7">
        <v>2024</v>
      </c>
      <c r="D1005" s="8" t="s">
        <v>31</v>
      </c>
      <c r="E1005" s="9">
        <v>4495</v>
      </c>
      <c r="F1005" s="10">
        <v>183643768.69999999</v>
      </c>
      <c r="G1005" s="10">
        <v>31660185.73</v>
      </c>
      <c r="H1005" s="11">
        <v>17.239999999999998</v>
      </c>
      <c r="I1005" s="11">
        <v>10.54</v>
      </c>
      <c r="J1005" s="10">
        <v>14201.97</v>
      </c>
      <c r="K1005" s="10">
        <v>8144.39</v>
      </c>
      <c r="L1005" s="10">
        <v>183573292</v>
      </c>
      <c r="M1005" s="10">
        <v>183629647.09999999</v>
      </c>
      <c r="N1005" s="10">
        <v>70476.759999999995</v>
      </c>
      <c r="O1005" s="10">
        <v>183578831.09999999</v>
      </c>
      <c r="P1005" s="10">
        <v>183576920.69999999</v>
      </c>
      <c r="Q1005" s="10">
        <v>1910.45</v>
      </c>
      <c r="R1005" s="10">
        <v>19356053.23</v>
      </c>
      <c r="S1005" s="10">
        <v>12304132.51</v>
      </c>
      <c r="T1005" s="10">
        <v>17343.73</v>
      </c>
      <c r="U1005" s="10">
        <v>49747.55</v>
      </c>
      <c r="V1005" s="10">
        <v>3427.9</v>
      </c>
      <c r="W1005" s="10">
        <v>2111.23</v>
      </c>
      <c r="X1005" s="10">
        <v>4661.33</v>
      </c>
      <c r="Y1005" s="9">
        <v>4228552</v>
      </c>
    </row>
    <row r="1006" spans="1:25" ht="16.05" customHeight="1" x14ac:dyDescent="0.3">
      <c r="A1006" s="2">
        <v>300</v>
      </c>
      <c r="B1006" s="2">
        <v>5</v>
      </c>
      <c r="C1006" s="2">
        <v>2024</v>
      </c>
      <c r="D1006" s="3" t="s">
        <v>31</v>
      </c>
      <c r="E1006" s="4">
        <v>4004</v>
      </c>
      <c r="F1006" s="5">
        <v>137887626.40000001</v>
      </c>
      <c r="G1006" s="5">
        <v>24999026.66</v>
      </c>
      <c r="H1006" s="6">
        <v>18.13</v>
      </c>
      <c r="I1006" s="6">
        <v>11.91</v>
      </c>
      <c r="J1006" s="5">
        <v>12390.44</v>
      </c>
      <c r="K1006" s="5">
        <v>8129.62</v>
      </c>
      <c r="L1006" s="5">
        <v>137863736.09999999</v>
      </c>
      <c r="M1006" s="5">
        <v>137866734.19999999</v>
      </c>
      <c r="N1006" s="5">
        <v>23890.28</v>
      </c>
      <c r="O1006" s="5">
        <v>137879827.5</v>
      </c>
      <c r="P1006" s="5">
        <v>137868240.09999999</v>
      </c>
      <c r="Q1006" s="5">
        <v>11587.43</v>
      </c>
      <c r="R1006" s="5">
        <v>16422416.300000001</v>
      </c>
      <c r="S1006" s="5">
        <v>8576610.3599999994</v>
      </c>
      <c r="T1006" s="5">
        <v>63842.61</v>
      </c>
      <c r="U1006" s="5">
        <v>48486.32</v>
      </c>
      <c r="V1006" s="5">
        <v>9002.5</v>
      </c>
      <c r="W1006" s="5">
        <v>7088.93</v>
      </c>
      <c r="X1006" s="5">
        <v>1852.23</v>
      </c>
      <c r="Y1006" s="4">
        <v>3857158</v>
      </c>
    </row>
    <row r="1007" spans="1:25" ht="16.05" customHeight="1" x14ac:dyDescent="0.3">
      <c r="A1007" s="7">
        <v>370</v>
      </c>
      <c r="B1007" s="7">
        <v>6</v>
      </c>
      <c r="C1007" s="7">
        <v>2024</v>
      </c>
      <c r="D1007" s="8" t="s">
        <v>31</v>
      </c>
      <c r="E1007" s="9">
        <v>3031</v>
      </c>
      <c r="F1007" s="10">
        <v>200621521.09999999</v>
      </c>
      <c r="G1007" s="10">
        <v>25799927.609999999</v>
      </c>
      <c r="H1007" s="11">
        <v>12.86</v>
      </c>
      <c r="I1007" s="11">
        <v>17.829999999999998</v>
      </c>
      <c r="J1007" s="10">
        <v>9260.14</v>
      </c>
      <c r="K1007" s="10">
        <v>11532.72</v>
      </c>
      <c r="L1007" s="10">
        <v>200562000.90000001</v>
      </c>
      <c r="M1007" s="10">
        <v>200597504.69999999</v>
      </c>
      <c r="N1007" s="10">
        <v>59520.18</v>
      </c>
      <c r="O1007" s="10">
        <v>200568847.40000001</v>
      </c>
      <c r="P1007" s="10">
        <v>200564028</v>
      </c>
      <c r="Q1007" s="10">
        <v>4819.3900000000003</v>
      </c>
      <c r="R1007" s="10">
        <v>35770817.210000001</v>
      </c>
      <c r="S1007" s="10">
        <v>-9970889.5999999996</v>
      </c>
      <c r="T1007" s="10">
        <v>48267.07</v>
      </c>
      <c r="U1007" s="10">
        <v>55580.55</v>
      </c>
      <c r="V1007" s="10">
        <v>3413.44</v>
      </c>
      <c r="W1007" s="10">
        <v>3433.08</v>
      </c>
      <c r="X1007" s="10">
        <v>3677.46</v>
      </c>
      <c r="Y1007" s="9">
        <v>1967319</v>
      </c>
    </row>
    <row r="1008" spans="1:25" ht="16.05" customHeight="1" x14ac:dyDescent="0.3">
      <c r="A1008" s="2">
        <v>440</v>
      </c>
      <c r="B1008" s="2">
        <v>7</v>
      </c>
      <c r="C1008" s="2">
        <v>2024</v>
      </c>
      <c r="D1008" s="3" t="s">
        <v>31</v>
      </c>
      <c r="E1008" s="4">
        <v>6200</v>
      </c>
      <c r="F1008" s="5">
        <v>214820450.90000001</v>
      </c>
      <c r="G1008" s="5">
        <v>53941415.229999997</v>
      </c>
      <c r="H1008" s="6">
        <v>25.11</v>
      </c>
      <c r="I1008" s="6">
        <v>16.87</v>
      </c>
      <c r="J1008" s="5">
        <v>6624.31</v>
      </c>
      <c r="K1008" s="5">
        <v>2187.75</v>
      </c>
      <c r="L1008" s="5">
        <v>214789867.80000001</v>
      </c>
      <c r="M1008" s="5">
        <v>214801807.90000001</v>
      </c>
      <c r="N1008" s="5">
        <v>30583.09</v>
      </c>
      <c r="O1008" s="5">
        <v>214799952.69999999</v>
      </c>
      <c r="P1008" s="5">
        <v>214787030.40000001</v>
      </c>
      <c r="Q1008" s="5">
        <v>12922.33</v>
      </c>
      <c r="R1008" s="5">
        <v>36240210.07</v>
      </c>
      <c r="S1008" s="5">
        <v>17701205.16</v>
      </c>
      <c r="T1008" s="5">
        <v>47557.51</v>
      </c>
      <c r="U1008" s="5">
        <v>5896.45</v>
      </c>
      <c r="V1008" s="5">
        <v>6045.04</v>
      </c>
      <c r="W1008" s="5">
        <v>4039.81</v>
      </c>
      <c r="X1008" s="5">
        <v>3715.52</v>
      </c>
      <c r="Y1008" s="4">
        <v>2329807</v>
      </c>
    </row>
    <row r="1009" spans="1:25" ht="16.05" customHeight="1" x14ac:dyDescent="0.3">
      <c r="A1009" s="7">
        <v>510</v>
      </c>
      <c r="B1009" s="7">
        <v>8</v>
      </c>
      <c r="C1009" s="7">
        <v>2024</v>
      </c>
      <c r="D1009" s="8" t="s">
        <v>31</v>
      </c>
      <c r="E1009" s="9">
        <v>1123</v>
      </c>
      <c r="F1009" s="10">
        <v>54875142.810000002</v>
      </c>
      <c r="G1009" s="10">
        <v>13823048.470000001</v>
      </c>
      <c r="H1009" s="11">
        <v>25.19</v>
      </c>
      <c r="I1009" s="11">
        <v>16.52</v>
      </c>
      <c r="J1009" s="10">
        <v>7756.64</v>
      </c>
      <c r="K1009" s="10">
        <v>14287.92</v>
      </c>
      <c r="L1009" s="10">
        <v>54821955.619999997</v>
      </c>
      <c r="M1009" s="10">
        <v>54869081.240000002</v>
      </c>
      <c r="N1009" s="10">
        <v>53187.19</v>
      </c>
      <c r="O1009" s="10">
        <v>54835674.359999999</v>
      </c>
      <c r="P1009" s="10">
        <v>54824875.420000002</v>
      </c>
      <c r="Q1009" s="10">
        <v>10798.94</v>
      </c>
      <c r="R1009" s="10">
        <v>9065373.5899999999</v>
      </c>
      <c r="S1009" s="10">
        <v>4757674.88</v>
      </c>
      <c r="T1009" s="10">
        <v>101162.8</v>
      </c>
      <c r="U1009" s="10">
        <v>39024.720000000001</v>
      </c>
      <c r="V1009" s="10">
        <v>9124.8700000000008</v>
      </c>
      <c r="W1009" s="10">
        <v>4593.87</v>
      </c>
      <c r="X1009" s="10">
        <v>3345.66</v>
      </c>
      <c r="Y1009" s="9">
        <v>2676071</v>
      </c>
    </row>
    <row r="1010" spans="1:25" ht="16.05" customHeight="1" x14ac:dyDescent="0.3">
      <c r="A1010" s="2">
        <v>580</v>
      </c>
      <c r="B1010" s="2">
        <v>9</v>
      </c>
      <c r="C1010" s="2">
        <v>2024</v>
      </c>
      <c r="D1010" s="3" t="s">
        <v>31</v>
      </c>
      <c r="E1010" s="4">
        <v>3572</v>
      </c>
      <c r="F1010" s="5">
        <v>171632896.30000001</v>
      </c>
      <c r="G1010" s="5">
        <v>50631704.420000002</v>
      </c>
      <c r="H1010" s="6">
        <v>29.5</v>
      </c>
      <c r="I1010" s="6">
        <v>9.86</v>
      </c>
      <c r="J1010" s="5">
        <v>8201.5400000000009</v>
      </c>
      <c r="K1010" s="5">
        <v>14155.04</v>
      </c>
      <c r="L1010" s="5">
        <v>171588480.40000001</v>
      </c>
      <c r="M1010" s="5">
        <v>171609313.90000001</v>
      </c>
      <c r="N1010" s="5">
        <v>44415.98</v>
      </c>
      <c r="O1010" s="5">
        <v>171603204.19999999</v>
      </c>
      <c r="P1010" s="5">
        <v>171594997.5</v>
      </c>
      <c r="Q1010" s="5">
        <v>8206.7000000000007</v>
      </c>
      <c r="R1010" s="5">
        <v>16923003.579999998</v>
      </c>
      <c r="S1010" s="5">
        <v>33708700.840000004</v>
      </c>
      <c r="T1010" s="5">
        <v>85867.51</v>
      </c>
      <c r="U1010" s="5">
        <v>53717.39</v>
      </c>
      <c r="V1010" s="5">
        <v>9229.0300000000007</v>
      </c>
      <c r="W1010" s="5">
        <v>5494.81</v>
      </c>
      <c r="X1010" s="5">
        <v>4912.58</v>
      </c>
      <c r="Y1010" s="4">
        <v>3829226</v>
      </c>
    </row>
    <row r="1011" spans="1:25" ht="16.05" customHeight="1" x14ac:dyDescent="0.3">
      <c r="A1011" s="7">
        <v>650</v>
      </c>
      <c r="B1011" s="7">
        <v>10</v>
      </c>
      <c r="C1011" s="7">
        <v>2024</v>
      </c>
      <c r="D1011" s="8" t="s">
        <v>31</v>
      </c>
      <c r="E1011" s="9">
        <v>3703</v>
      </c>
      <c r="F1011" s="10">
        <v>65366738.149999999</v>
      </c>
      <c r="G1011" s="10">
        <v>5673832.8700000001</v>
      </c>
      <c r="H1011" s="11">
        <v>8.68</v>
      </c>
      <c r="I1011" s="11">
        <v>15.97</v>
      </c>
      <c r="J1011" s="10">
        <v>3802.86</v>
      </c>
      <c r="K1011" s="10">
        <v>6340.25</v>
      </c>
      <c r="L1011" s="10">
        <v>65340411.539999999</v>
      </c>
      <c r="M1011" s="10">
        <v>65355367.829999998</v>
      </c>
      <c r="N1011" s="10">
        <v>26326.61</v>
      </c>
      <c r="O1011" s="10">
        <v>65345466.170000002</v>
      </c>
      <c r="P1011" s="10">
        <v>65335148.57</v>
      </c>
      <c r="Q1011" s="10">
        <v>10317.6</v>
      </c>
      <c r="R1011" s="10">
        <v>10439068.08</v>
      </c>
      <c r="S1011" s="10">
        <v>-4765235.21</v>
      </c>
      <c r="T1011" s="10">
        <v>75857.13</v>
      </c>
      <c r="U1011" s="10">
        <v>21549.63</v>
      </c>
      <c r="V1011" s="10">
        <v>2871.06</v>
      </c>
      <c r="W1011" s="10">
        <v>2183.5700000000002</v>
      </c>
      <c r="X1011" s="10">
        <v>4045.49</v>
      </c>
      <c r="Y1011" s="9">
        <v>2430054</v>
      </c>
    </row>
    <row r="1012" spans="1:25" ht="16.05" customHeight="1" x14ac:dyDescent="0.3">
      <c r="A1012" s="2">
        <v>720</v>
      </c>
      <c r="B1012" s="2">
        <v>11</v>
      </c>
      <c r="C1012" s="2">
        <v>2024</v>
      </c>
      <c r="D1012" s="3" t="s">
        <v>31</v>
      </c>
      <c r="E1012" s="4">
        <v>5544</v>
      </c>
      <c r="F1012" s="5">
        <v>212759083.69999999</v>
      </c>
      <c r="G1012" s="5">
        <v>18531316.190000001</v>
      </c>
      <c r="H1012" s="6">
        <v>8.7100000000000009</v>
      </c>
      <c r="I1012" s="6">
        <v>11.5</v>
      </c>
      <c r="J1012" s="5">
        <v>5110.75</v>
      </c>
      <c r="K1012" s="5">
        <v>15404.38</v>
      </c>
      <c r="L1012" s="5">
        <v>212712485.40000001</v>
      </c>
      <c r="M1012" s="5">
        <v>212745994.19999999</v>
      </c>
      <c r="N1012" s="5">
        <v>46598.239999999998</v>
      </c>
      <c r="O1012" s="5">
        <v>212721356.5</v>
      </c>
      <c r="P1012" s="5">
        <v>212714566.5</v>
      </c>
      <c r="Q1012" s="5">
        <v>6790.04</v>
      </c>
      <c r="R1012" s="5">
        <v>24467294.620000001</v>
      </c>
      <c r="S1012" s="5">
        <v>-5935978.4299999997</v>
      </c>
      <c r="T1012" s="5">
        <v>66462.3</v>
      </c>
      <c r="U1012" s="5">
        <v>7484.45</v>
      </c>
      <c r="V1012" s="5">
        <v>2364.4899999999998</v>
      </c>
      <c r="W1012" s="5">
        <v>6506.62</v>
      </c>
      <c r="X1012" s="5">
        <v>3812.01</v>
      </c>
      <c r="Y1012" s="4">
        <v>4655821</v>
      </c>
    </row>
    <row r="1013" spans="1:25" ht="16.05" customHeight="1" x14ac:dyDescent="0.3">
      <c r="A1013" s="7">
        <v>790</v>
      </c>
      <c r="B1013" s="7">
        <v>12</v>
      </c>
      <c r="C1013" s="7">
        <v>2024</v>
      </c>
      <c r="D1013" s="8" t="s">
        <v>31</v>
      </c>
      <c r="E1013" s="9">
        <v>5906</v>
      </c>
      <c r="F1013" s="10">
        <v>297042455.10000002</v>
      </c>
      <c r="G1013" s="10">
        <v>72211020.840000004</v>
      </c>
      <c r="H1013" s="11">
        <v>24.31</v>
      </c>
      <c r="I1013" s="11">
        <v>19.8</v>
      </c>
      <c r="J1013" s="10">
        <v>10128.969999999999</v>
      </c>
      <c r="K1013" s="10">
        <v>18055.03</v>
      </c>
      <c r="L1013" s="10">
        <v>296981193.80000001</v>
      </c>
      <c r="M1013" s="10">
        <v>297033085.5</v>
      </c>
      <c r="N1013" s="10">
        <v>61261.32</v>
      </c>
      <c r="O1013" s="10">
        <v>296988417.5</v>
      </c>
      <c r="P1013" s="10">
        <v>296979977.10000002</v>
      </c>
      <c r="Q1013" s="10">
        <v>8440.4500000000007</v>
      </c>
      <c r="R1013" s="10">
        <v>58814406.109999999</v>
      </c>
      <c r="S1013" s="10">
        <v>13396614.73</v>
      </c>
      <c r="T1013" s="10">
        <v>73509.86</v>
      </c>
      <c r="U1013" s="10">
        <v>57827.1</v>
      </c>
      <c r="V1013" s="10">
        <v>5407.77</v>
      </c>
      <c r="W1013" s="10">
        <v>1815.99</v>
      </c>
      <c r="X1013" s="10">
        <v>2411.0100000000002</v>
      </c>
      <c r="Y1013" s="9">
        <v>3167204</v>
      </c>
    </row>
    <row r="1014" spans="1:25" ht="16.05" customHeight="1" x14ac:dyDescent="0.3">
      <c r="A1014" s="2">
        <v>860</v>
      </c>
      <c r="B1014" s="2">
        <v>13</v>
      </c>
      <c r="C1014" s="2">
        <v>2024</v>
      </c>
      <c r="D1014" s="3" t="s">
        <v>31</v>
      </c>
      <c r="E1014" s="4">
        <v>5007</v>
      </c>
      <c r="F1014" s="5">
        <v>298220934.69999999</v>
      </c>
      <c r="G1014" s="5">
        <v>45061183.240000002</v>
      </c>
      <c r="H1014" s="6">
        <v>15.11</v>
      </c>
      <c r="I1014" s="6">
        <v>19.68</v>
      </c>
      <c r="J1014" s="5">
        <v>13794.69</v>
      </c>
      <c r="K1014" s="5">
        <v>18585.669999999998</v>
      </c>
      <c r="L1014" s="5">
        <v>298184375.60000002</v>
      </c>
      <c r="M1014" s="5">
        <v>298201826.60000002</v>
      </c>
      <c r="N1014" s="5">
        <v>36559.120000000003</v>
      </c>
      <c r="O1014" s="5">
        <v>298199724.19999999</v>
      </c>
      <c r="P1014" s="5">
        <v>298192913.5</v>
      </c>
      <c r="Q1014" s="5">
        <v>6810.64</v>
      </c>
      <c r="R1014" s="5">
        <v>58689879.950000003</v>
      </c>
      <c r="S1014" s="5">
        <v>-13628696.720000001</v>
      </c>
      <c r="T1014" s="5">
        <v>39350.629999999997</v>
      </c>
      <c r="U1014" s="5">
        <v>6464.5</v>
      </c>
      <c r="V1014" s="5">
        <v>8435.18</v>
      </c>
      <c r="W1014" s="5">
        <v>6913.41</v>
      </c>
      <c r="X1014" s="5">
        <v>2980.95</v>
      </c>
      <c r="Y1014" s="4">
        <v>3150852</v>
      </c>
    </row>
    <row r="1015" spans="1:25" ht="16.05" customHeight="1" x14ac:dyDescent="0.3">
      <c r="A1015" s="7">
        <v>930</v>
      </c>
      <c r="B1015" s="7">
        <v>14</v>
      </c>
      <c r="C1015" s="7">
        <v>2024</v>
      </c>
      <c r="D1015" s="8" t="s">
        <v>31</v>
      </c>
      <c r="E1015" s="9">
        <v>318</v>
      </c>
      <c r="F1015" s="10">
        <v>10842776.34</v>
      </c>
      <c r="G1015" s="10">
        <v>723213.18</v>
      </c>
      <c r="H1015" s="11">
        <v>6.67</v>
      </c>
      <c r="I1015" s="11">
        <v>6.02</v>
      </c>
      <c r="J1015" s="10">
        <v>4097.07</v>
      </c>
      <c r="K1015" s="10">
        <v>14971.05</v>
      </c>
      <c r="L1015" s="10">
        <v>10777466.539999999</v>
      </c>
      <c r="M1015" s="10">
        <v>10826334.800000001</v>
      </c>
      <c r="N1015" s="10">
        <v>65309.8</v>
      </c>
      <c r="O1015" s="10">
        <v>10790210.1</v>
      </c>
      <c r="P1015" s="10">
        <v>10786676.26</v>
      </c>
      <c r="Q1015" s="10">
        <v>3533.84</v>
      </c>
      <c r="R1015" s="10">
        <v>652735.14</v>
      </c>
      <c r="S1015" s="10">
        <v>70478.05</v>
      </c>
      <c r="T1015" s="10">
        <v>46938.79</v>
      </c>
      <c r="U1015" s="10">
        <v>33051.480000000003</v>
      </c>
      <c r="V1015" s="10">
        <v>5323.1</v>
      </c>
      <c r="W1015" s="10">
        <v>7420.46</v>
      </c>
      <c r="X1015" s="10">
        <v>3555.85</v>
      </c>
      <c r="Y1015" s="9">
        <v>3037947</v>
      </c>
    </row>
    <row r="1016" spans="1:25" ht="16.05" customHeight="1" x14ac:dyDescent="0.3">
      <c r="A1016" s="2">
        <v>1000</v>
      </c>
      <c r="B1016" s="2">
        <v>15</v>
      </c>
      <c r="C1016" s="2">
        <v>2024</v>
      </c>
      <c r="D1016" s="3" t="s">
        <v>31</v>
      </c>
      <c r="E1016" s="4">
        <v>2389</v>
      </c>
      <c r="F1016" s="5">
        <v>81086164.189999998</v>
      </c>
      <c r="G1016" s="5">
        <v>19866110.23</v>
      </c>
      <c r="H1016" s="6">
        <v>24.5</v>
      </c>
      <c r="I1016" s="6">
        <v>11.79</v>
      </c>
      <c r="J1016" s="5">
        <v>9572.59</v>
      </c>
      <c r="K1016" s="5">
        <v>16209.49</v>
      </c>
      <c r="L1016" s="5">
        <v>81033770.950000003</v>
      </c>
      <c r="M1016" s="5">
        <v>81076434.609999999</v>
      </c>
      <c r="N1016" s="5">
        <v>52393.24</v>
      </c>
      <c r="O1016" s="5">
        <v>81040581.790000007</v>
      </c>
      <c r="P1016" s="5">
        <v>81031490.790000007</v>
      </c>
      <c r="Q1016" s="5">
        <v>9091</v>
      </c>
      <c r="R1016" s="5">
        <v>9560058.7599999998</v>
      </c>
      <c r="S1016" s="5">
        <v>10306051.470000001</v>
      </c>
      <c r="T1016" s="5">
        <v>104972.49</v>
      </c>
      <c r="U1016" s="5">
        <v>39216.129999999997</v>
      </c>
      <c r="V1016" s="5">
        <v>1088.8699999999999</v>
      </c>
      <c r="W1016" s="5">
        <v>5721.97</v>
      </c>
      <c r="X1016" s="5">
        <v>4318.82</v>
      </c>
      <c r="Y1016" s="4">
        <v>2225016</v>
      </c>
    </row>
    <row r="1017" spans="1:25" ht="16.05" customHeight="1" x14ac:dyDescent="0.3">
      <c r="A1017" s="7">
        <v>1070</v>
      </c>
      <c r="B1017" s="7">
        <v>16</v>
      </c>
      <c r="C1017" s="7">
        <v>2024</v>
      </c>
      <c r="D1017" s="8" t="s">
        <v>31</v>
      </c>
      <c r="E1017" s="9">
        <v>1425</v>
      </c>
      <c r="F1017" s="10">
        <v>77875192.189999998</v>
      </c>
      <c r="G1017" s="10">
        <v>11237390.23</v>
      </c>
      <c r="H1017" s="11">
        <v>14.43</v>
      </c>
      <c r="I1017" s="11">
        <v>7.58</v>
      </c>
      <c r="J1017" s="10">
        <v>4353.67</v>
      </c>
      <c r="K1017" s="10">
        <v>11017.12</v>
      </c>
      <c r="L1017" s="10">
        <v>77789377.859999999</v>
      </c>
      <c r="M1017" s="10">
        <v>77854085.329999998</v>
      </c>
      <c r="N1017" s="10">
        <v>85814.33</v>
      </c>
      <c r="O1017" s="10">
        <v>77808148.609999999</v>
      </c>
      <c r="P1017" s="10">
        <v>77803516.609999999</v>
      </c>
      <c r="Q1017" s="10">
        <v>4632</v>
      </c>
      <c r="R1017" s="10">
        <v>5902939.5700000003</v>
      </c>
      <c r="S1017" s="10">
        <v>5334450.66</v>
      </c>
      <c r="T1017" s="10">
        <v>61199.08</v>
      </c>
      <c r="U1017" s="10">
        <v>35579.69</v>
      </c>
      <c r="V1017" s="10">
        <v>11089.24</v>
      </c>
      <c r="W1017" s="10">
        <v>7681.51</v>
      </c>
      <c r="X1017" s="10">
        <v>4845.8</v>
      </c>
      <c r="Y1017" s="9">
        <v>4084374</v>
      </c>
    </row>
    <row r="1018" spans="1:25" ht="16.05" customHeight="1" x14ac:dyDescent="0.3">
      <c r="A1018" s="2">
        <v>1140</v>
      </c>
      <c r="B1018" s="2">
        <v>17</v>
      </c>
      <c r="C1018" s="2">
        <v>2024</v>
      </c>
      <c r="D1018" s="3" t="s">
        <v>31</v>
      </c>
      <c r="E1018" s="4">
        <v>4152</v>
      </c>
      <c r="F1018" s="5">
        <v>241448357.5</v>
      </c>
      <c r="G1018" s="5">
        <v>63380193.840000004</v>
      </c>
      <c r="H1018" s="6">
        <v>26.25</v>
      </c>
      <c r="I1018" s="6">
        <v>15.32</v>
      </c>
      <c r="J1018" s="5">
        <v>7088.55</v>
      </c>
      <c r="K1018" s="5">
        <v>11723.71</v>
      </c>
      <c r="L1018" s="5">
        <v>241429601.90000001</v>
      </c>
      <c r="M1018" s="5">
        <v>241432145</v>
      </c>
      <c r="N1018" s="5">
        <v>18755.61</v>
      </c>
      <c r="O1018" s="5">
        <v>241440602.69999999</v>
      </c>
      <c r="P1018" s="5">
        <v>241429440.09999999</v>
      </c>
      <c r="Q1018" s="5">
        <v>11162.57</v>
      </c>
      <c r="R1018" s="5">
        <v>36989888.369999997</v>
      </c>
      <c r="S1018" s="5">
        <v>26390305.469999999</v>
      </c>
      <c r="T1018" s="5">
        <v>82539.81</v>
      </c>
      <c r="U1018" s="5">
        <v>44177.07</v>
      </c>
      <c r="V1018" s="5">
        <v>7888.3</v>
      </c>
      <c r="W1018" s="5">
        <v>3112.51</v>
      </c>
      <c r="X1018" s="5">
        <v>1711.67</v>
      </c>
      <c r="Y1018" s="4">
        <v>4512303</v>
      </c>
    </row>
    <row r="1019" spans="1:25" ht="16.05" customHeight="1" x14ac:dyDescent="0.3">
      <c r="A1019" s="7">
        <v>1210</v>
      </c>
      <c r="B1019" s="7">
        <v>18</v>
      </c>
      <c r="C1019" s="7">
        <v>2024</v>
      </c>
      <c r="D1019" s="8" t="s">
        <v>31</v>
      </c>
      <c r="E1019" s="9">
        <v>3048</v>
      </c>
      <c r="F1019" s="10">
        <v>30044060.5</v>
      </c>
      <c r="G1019" s="10">
        <v>6531578.75</v>
      </c>
      <c r="H1019" s="11">
        <v>21.74</v>
      </c>
      <c r="I1019" s="11">
        <v>17.87</v>
      </c>
      <c r="J1019" s="10">
        <v>6900.83</v>
      </c>
      <c r="K1019" s="10">
        <v>10838.79</v>
      </c>
      <c r="L1019" s="10">
        <v>29977892.050000001</v>
      </c>
      <c r="M1019" s="10">
        <v>30040233.949999999</v>
      </c>
      <c r="N1019" s="10">
        <v>66168.45</v>
      </c>
      <c r="O1019" s="10">
        <v>29990211.550000001</v>
      </c>
      <c r="P1019" s="10">
        <v>29989117.059999999</v>
      </c>
      <c r="Q1019" s="10">
        <v>1094.49</v>
      </c>
      <c r="R1019" s="10">
        <v>5368873.6100000003</v>
      </c>
      <c r="S1019" s="10">
        <v>1162705.1399999999</v>
      </c>
      <c r="T1019" s="10">
        <v>32539.48</v>
      </c>
      <c r="U1019" s="10">
        <v>31528.68</v>
      </c>
      <c r="V1019" s="10">
        <v>11799.54</v>
      </c>
      <c r="W1019" s="10">
        <v>519.96</v>
      </c>
      <c r="X1019" s="10">
        <v>4196.84</v>
      </c>
      <c r="Y1019" s="9">
        <v>3852247</v>
      </c>
    </row>
    <row r="1020" spans="1:25" ht="16.05" customHeight="1" x14ac:dyDescent="0.3">
      <c r="A1020" s="2">
        <v>1280</v>
      </c>
      <c r="B1020" s="2">
        <v>19</v>
      </c>
      <c r="C1020" s="2">
        <v>2024</v>
      </c>
      <c r="D1020" s="3" t="s">
        <v>31</v>
      </c>
      <c r="E1020" s="4">
        <v>4179</v>
      </c>
      <c r="F1020" s="5">
        <v>201977424.5</v>
      </c>
      <c r="G1020" s="5">
        <v>31629664.68</v>
      </c>
      <c r="H1020" s="6">
        <v>15.66</v>
      </c>
      <c r="I1020" s="6">
        <v>12.47</v>
      </c>
      <c r="J1020" s="5">
        <v>6010.15</v>
      </c>
      <c r="K1020" s="5">
        <v>2105.35</v>
      </c>
      <c r="L1020" s="5">
        <v>201902549.90000001</v>
      </c>
      <c r="M1020" s="5">
        <v>201962177.80000001</v>
      </c>
      <c r="N1020" s="5">
        <v>74874.62</v>
      </c>
      <c r="O1020" s="5">
        <v>201913287.5</v>
      </c>
      <c r="P1020" s="5">
        <v>201912098.40000001</v>
      </c>
      <c r="Q1020" s="5">
        <v>1189.1199999999999</v>
      </c>
      <c r="R1020" s="5">
        <v>25186584.829999998</v>
      </c>
      <c r="S1020" s="5">
        <v>6443079.8399999999</v>
      </c>
      <c r="T1020" s="5">
        <v>77970.22</v>
      </c>
      <c r="U1020" s="5">
        <v>18453.22</v>
      </c>
      <c r="V1020" s="5">
        <v>9112.7800000000007</v>
      </c>
      <c r="W1020" s="5">
        <v>1624.86</v>
      </c>
      <c r="X1020" s="5">
        <v>3992.66</v>
      </c>
      <c r="Y1020" s="4">
        <v>3663255</v>
      </c>
    </row>
    <row r="1021" spans="1:25" ht="16.05" customHeight="1" x14ac:dyDescent="0.3">
      <c r="A1021" s="7">
        <v>1350</v>
      </c>
      <c r="B1021" s="7">
        <v>20</v>
      </c>
      <c r="C1021" s="7">
        <v>2024</v>
      </c>
      <c r="D1021" s="8" t="s">
        <v>31</v>
      </c>
      <c r="E1021" s="9">
        <v>945</v>
      </c>
      <c r="F1021" s="10">
        <v>46459442.649999999</v>
      </c>
      <c r="G1021" s="10">
        <v>2936236.78</v>
      </c>
      <c r="H1021" s="11">
        <v>6.32</v>
      </c>
      <c r="I1021" s="11">
        <v>5.93</v>
      </c>
      <c r="J1021" s="10">
        <v>4566.62</v>
      </c>
      <c r="K1021" s="10">
        <v>10946.62</v>
      </c>
      <c r="L1021" s="10">
        <v>46440569.140000001</v>
      </c>
      <c r="M1021" s="10">
        <v>46442125.990000002</v>
      </c>
      <c r="N1021" s="10">
        <v>18873.509999999998</v>
      </c>
      <c r="O1021" s="10">
        <v>46453612.060000002</v>
      </c>
      <c r="P1021" s="10">
        <v>46448816.609999999</v>
      </c>
      <c r="Q1021" s="10">
        <v>4795.45</v>
      </c>
      <c r="R1021" s="10">
        <v>2755044.95</v>
      </c>
      <c r="S1021" s="10">
        <v>181191.83</v>
      </c>
      <c r="T1021" s="10">
        <v>99355.58</v>
      </c>
      <c r="U1021" s="10">
        <v>45482.41</v>
      </c>
      <c r="V1021" s="10">
        <v>8837.91</v>
      </c>
      <c r="W1021" s="10">
        <v>4205.01</v>
      </c>
      <c r="X1021" s="10">
        <v>3341.9</v>
      </c>
      <c r="Y1021" s="9">
        <v>3493507</v>
      </c>
    </row>
    <row r="1022" spans="1:25" ht="16.05" customHeight="1" x14ac:dyDescent="0.3">
      <c r="A1022" s="2">
        <v>1420</v>
      </c>
      <c r="B1022" s="2">
        <v>21</v>
      </c>
      <c r="C1022" s="2">
        <v>2024</v>
      </c>
      <c r="D1022" s="3" t="s">
        <v>31</v>
      </c>
      <c r="E1022" s="4">
        <v>1735</v>
      </c>
      <c r="F1022" s="5">
        <v>86573615.599999994</v>
      </c>
      <c r="G1022" s="5">
        <v>10951562.369999999</v>
      </c>
      <c r="H1022" s="6">
        <v>12.65</v>
      </c>
      <c r="I1022" s="6">
        <v>7.44</v>
      </c>
      <c r="J1022" s="5">
        <v>10119.39</v>
      </c>
      <c r="K1022" s="5">
        <v>4262.4799999999996</v>
      </c>
      <c r="L1022" s="5">
        <v>86551144.849999994</v>
      </c>
      <c r="M1022" s="5">
        <v>86563649.269999996</v>
      </c>
      <c r="N1022" s="5">
        <v>22470.75</v>
      </c>
      <c r="O1022" s="5">
        <v>86552820.180000007</v>
      </c>
      <c r="P1022" s="5">
        <v>86539434.319999993</v>
      </c>
      <c r="Q1022" s="5">
        <v>13385.86</v>
      </c>
      <c r="R1022" s="5">
        <v>6441077</v>
      </c>
      <c r="S1022" s="5">
        <v>4510485.37</v>
      </c>
      <c r="T1022" s="5">
        <v>90521.53</v>
      </c>
      <c r="U1022" s="5">
        <v>45921.36</v>
      </c>
      <c r="V1022" s="5">
        <v>1077</v>
      </c>
      <c r="W1022" s="5">
        <v>598.33000000000004</v>
      </c>
      <c r="X1022" s="5">
        <v>1005.27</v>
      </c>
      <c r="Y1022" s="4">
        <v>1382560</v>
      </c>
    </row>
    <row r="1023" spans="1:25" ht="16.05" customHeight="1" x14ac:dyDescent="0.3">
      <c r="A1023" s="7">
        <v>1490</v>
      </c>
      <c r="B1023" s="7">
        <v>22</v>
      </c>
      <c r="C1023" s="7">
        <v>2024</v>
      </c>
      <c r="D1023" s="8" t="s">
        <v>31</v>
      </c>
      <c r="E1023" s="9">
        <v>6601</v>
      </c>
      <c r="F1023" s="10">
        <v>288927263.5</v>
      </c>
      <c r="G1023" s="10">
        <v>25570062.82</v>
      </c>
      <c r="H1023" s="11">
        <v>8.85</v>
      </c>
      <c r="I1023" s="11">
        <v>16.399999999999999</v>
      </c>
      <c r="J1023" s="10">
        <v>8857.85</v>
      </c>
      <c r="K1023" s="10">
        <v>4631.8999999999996</v>
      </c>
      <c r="L1023" s="10">
        <v>288911835.80000001</v>
      </c>
      <c r="M1023" s="10">
        <v>288906700.60000002</v>
      </c>
      <c r="N1023" s="10">
        <v>15427.74</v>
      </c>
      <c r="O1023" s="10">
        <v>288922242.19999999</v>
      </c>
      <c r="P1023" s="10">
        <v>288917816</v>
      </c>
      <c r="Q1023" s="10">
        <v>4426.2</v>
      </c>
      <c r="R1023" s="10">
        <v>47384071.210000001</v>
      </c>
      <c r="S1023" s="10">
        <v>-21814008.390000001</v>
      </c>
      <c r="T1023" s="10">
        <v>73903.64</v>
      </c>
      <c r="U1023" s="10">
        <v>15083.58</v>
      </c>
      <c r="V1023" s="10">
        <v>8467.94</v>
      </c>
      <c r="W1023" s="10">
        <v>1938.49</v>
      </c>
      <c r="X1023" s="10">
        <v>4815.08</v>
      </c>
      <c r="Y1023" s="9">
        <v>4529903</v>
      </c>
    </row>
    <row r="1024" spans="1:25" ht="16.05" customHeight="1" x14ac:dyDescent="0.3">
      <c r="A1024" s="2">
        <v>1560</v>
      </c>
      <c r="B1024" s="2">
        <v>23</v>
      </c>
      <c r="C1024" s="2">
        <v>2024</v>
      </c>
      <c r="D1024" s="3" t="s">
        <v>31</v>
      </c>
      <c r="E1024" s="4">
        <v>6196</v>
      </c>
      <c r="F1024" s="5">
        <v>312369342.60000002</v>
      </c>
      <c r="G1024" s="5">
        <v>50260227.219999999</v>
      </c>
      <c r="H1024" s="6">
        <v>16.09</v>
      </c>
      <c r="I1024" s="6">
        <v>7.74</v>
      </c>
      <c r="J1024" s="5">
        <v>8499.59</v>
      </c>
      <c r="K1024" s="5">
        <v>19581.7</v>
      </c>
      <c r="L1024" s="5">
        <v>312349831.60000002</v>
      </c>
      <c r="M1024" s="5">
        <v>312365120.80000001</v>
      </c>
      <c r="N1024" s="5">
        <v>19510.990000000002</v>
      </c>
      <c r="O1024" s="5">
        <v>312362801.30000001</v>
      </c>
      <c r="P1024" s="5">
        <v>312350233.10000002</v>
      </c>
      <c r="Q1024" s="5">
        <v>12568.21</v>
      </c>
      <c r="R1024" s="5">
        <v>24177387.120000001</v>
      </c>
      <c r="S1024" s="5">
        <v>26082840.109999999</v>
      </c>
      <c r="T1024" s="5">
        <v>22115.31</v>
      </c>
      <c r="U1024" s="5">
        <v>36013.57</v>
      </c>
      <c r="V1024" s="5">
        <v>11433.97</v>
      </c>
      <c r="W1024" s="5">
        <v>1535.74</v>
      </c>
      <c r="X1024" s="5">
        <v>4024.84</v>
      </c>
      <c r="Y1024" s="4">
        <v>2973723</v>
      </c>
    </row>
    <row r="1025" spans="1:25" ht="16.05" customHeight="1" x14ac:dyDescent="0.3">
      <c r="A1025" s="7">
        <v>1630</v>
      </c>
      <c r="B1025" s="7">
        <v>24</v>
      </c>
      <c r="C1025" s="7">
        <v>2024</v>
      </c>
      <c r="D1025" s="8" t="s">
        <v>31</v>
      </c>
      <c r="E1025" s="9">
        <v>6186</v>
      </c>
      <c r="F1025" s="10">
        <v>154447044.69999999</v>
      </c>
      <c r="G1025" s="10">
        <v>8942483.8900000006</v>
      </c>
      <c r="H1025" s="11">
        <v>5.79</v>
      </c>
      <c r="I1025" s="11">
        <v>17.18</v>
      </c>
      <c r="J1025" s="10">
        <v>12778.18</v>
      </c>
      <c r="K1025" s="10">
        <v>5486.35</v>
      </c>
      <c r="L1025" s="10">
        <v>154382916.09999999</v>
      </c>
      <c r="M1025" s="10">
        <v>154437850.30000001</v>
      </c>
      <c r="N1025" s="10">
        <v>64128.639999999999</v>
      </c>
      <c r="O1025" s="10">
        <v>154395020.69999999</v>
      </c>
      <c r="P1025" s="10">
        <v>154380264.5</v>
      </c>
      <c r="Q1025" s="10">
        <v>14756.24</v>
      </c>
      <c r="R1025" s="10">
        <v>26534002.289999999</v>
      </c>
      <c r="S1025" s="10">
        <v>-17591518.399999999</v>
      </c>
      <c r="T1025" s="10">
        <v>60955.839999999997</v>
      </c>
      <c r="U1025" s="10">
        <v>58954.98</v>
      </c>
      <c r="V1025" s="10">
        <v>8079.98</v>
      </c>
      <c r="W1025" s="10">
        <v>4024.64</v>
      </c>
      <c r="X1025" s="10">
        <v>1539.38</v>
      </c>
      <c r="Y1025" s="9">
        <v>3303716</v>
      </c>
    </row>
    <row r="1026" spans="1:25" ht="16.05" customHeight="1" x14ac:dyDescent="0.3">
      <c r="A1026" s="2">
        <v>1700</v>
      </c>
      <c r="B1026" s="2">
        <v>25</v>
      </c>
      <c r="C1026" s="2">
        <v>2024</v>
      </c>
      <c r="D1026" s="3" t="s">
        <v>31</v>
      </c>
      <c r="E1026" s="4">
        <v>1610</v>
      </c>
      <c r="F1026" s="5">
        <v>92236165.939999998</v>
      </c>
      <c r="G1026" s="5">
        <v>16168999.890000001</v>
      </c>
      <c r="H1026" s="6">
        <v>17.53</v>
      </c>
      <c r="I1026" s="6">
        <v>15.23</v>
      </c>
      <c r="J1026" s="5">
        <v>3559.69</v>
      </c>
      <c r="K1026" s="5">
        <v>14407.55</v>
      </c>
      <c r="L1026" s="5">
        <v>92188053.900000006</v>
      </c>
      <c r="M1026" s="5">
        <v>92212581.560000002</v>
      </c>
      <c r="N1026" s="5">
        <v>48112.04</v>
      </c>
      <c r="O1026" s="5">
        <v>92199216.189999998</v>
      </c>
      <c r="P1026" s="5">
        <v>92193702.870000005</v>
      </c>
      <c r="Q1026" s="5">
        <v>5513.32</v>
      </c>
      <c r="R1026" s="5">
        <v>14047568.07</v>
      </c>
      <c r="S1026" s="5">
        <v>2121431.8199999998</v>
      </c>
      <c r="T1026" s="5">
        <v>79117.47</v>
      </c>
      <c r="U1026" s="5">
        <v>15009.97</v>
      </c>
      <c r="V1026" s="5">
        <v>6795.26</v>
      </c>
      <c r="W1026" s="5">
        <v>4367.03</v>
      </c>
      <c r="X1026" s="5">
        <v>4252.45</v>
      </c>
      <c r="Y1026" s="4">
        <v>3125378</v>
      </c>
    </row>
    <row r="1027" spans="1:25" ht="16.05" customHeight="1" x14ac:dyDescent="0.3">
      <c r="A1027" s="7">
        <v>1770</v>
      </c>
      <c r="B1027" s="7">
        <v>26</v>
      </c>
      <c r="C1027" s="7">
        <v>2024</v>
      </c>
      <c r="D1027" s="8" t="s">
        <v>31</v>
      </c>
      <c r="E1027" s="9">
        <v>5464</v>
      </c>
      <c r="F1027" s="10">
        <v>38552361.479999997</v>
      </c>
      <c r="G1027" s="10">
        <v>6145246.4199999999</v>
      </c>
      <c r="H1027" s="11">
        <v>15.94</v>
      </c>
      <c r="I1027" s="11">
        <v>13.08</v>
      </c>
      <c r="J1027" s="10">
        <v>8161.38</v>
      </c>
      <c r="K1027" s="10">
        <v>8007.65</v>
      </c>
      <c r="L1027" s="10">
        <v>38469848.030000001</v>
      </c>
      <c r="M1027" s="10">
        <v>38533602.109999999</v>
      </c>
      <c r="N1027" s="10">
        <v>82513.45</v>
      </c>
      <c r="O1027" s="10">
        <v>38488391.729999997</v>
      </c>
      <c r="P1027" s="10">
        <v>38485711.810000002</v>
      </c>
      <c r="Q1027" s="10">
        <v>2679.92</v>
      </c>
      <c r="R1027" s="10">
        <v>5042648.88</v>
      </c>
      <c r="S1027" s="10">
        <v>1102597.54</v>
      </c>
      <c r="T1027" s="10">
        <v>55579.3</v>
      </c>
      <c r="U1027" s="10">
        <v>45816.72</v>
      </c>
      <c r="V1027" s="10">
        <v>11839.26</v>
      </c>
      <c r="W1027" s="10">
        <v>6704.44</v>
      </c>
      <c r="X1027" s="10">
        <v>2561.86</v>
      </c>
      <c r="Y1027" s="9">
        <v>2787318</v>
      </c>
    </row>
    <row r="1028" spans="1:25" ht="16.05" customHeight="1" x14ac:dyDescent="0.3">
      <c r="A1028" s="2">
        <v>1840</v>
      </c>
      <c r="B1028" s="2">
        <v>27</v>
      </c>
      <c r="C1028" s="2">
        <v>2024</v>
      </c>
      <c r="D1028" s="3" t="s">
        <v>31</v>
      </c>
      <c r="E1028" s="4">
        <v>6767</v>
      </c>
      <c r="F1028" s="5">
        <v>382531135</v>
      </c>
      <c r="G1028" s="5">
        <v>29913934.760000002</v>
      </c>
      <c r="H1028" s="6">
        <v>7.82</v>
      </c>
      <c r="I1028" s="6">
        <v>9.8800000000000008</v>
      </c>
      <c r="J1028" s="5">
        <v>4049.46</v>
      </c>
      <c r="K1028" s="5">
        <v>12550.59</v>
      </c>
      <c r="L1028" s="5">
        <v>382512683.19999999</v>
      </c>
      <c r="M1028" s="5">
        <v>382506702.39999998</v>
      </c>
      <c r="N1028" s="5">
        <v>18451.810000000001</v>
      </c>
      <c r="O1028" s="5">
        <v>382521749.10000002</v>
      </c>
      <c r="P1028" s="5">
        <v>382511951.80000001</v>
      </c>
      <c r="Q1028" s="5">
        <v>9797.32</v>
      </c>
      <c r="R1028" s="5">
        <v>37794076.140000001</v>
      </c>
      <c r="S1028" s="5">
        <v>-7880141.3799999999</v>
      </c>
      <c r="T1028" s="5">
        <v>84748.95</v>
      </c>
      <c r="U1028" s="5">
        <v>18694.82</v>
      </c>
      <c r="V1028" s="5">
        <v>7589.02</v>
      </c>
      <c r="W1028" s="5">
        <v>1476.89</v>
      </c>
      <c r="X1028" s="5">
        <v>3740.68</v>
      </c>
      <c r="Y1028" s="4">
        <v>3052239</v>
      </c>
    </row>
    <row r="1029" spans="1:25" ht="16.05" customHeight="1" x14ac:dyDescent="0.3">
      <c r="A1029" s="7">
        <v>1910</v>
      </c>
      <c r="B1029" s="7">
        <v>28</v>
      </c>
      <c r="C1029" s="7">
        <v>2024</v>
      </c>
      <c r="D1029" s="8" t="s">
        <v>31</v>
      </c>
      <c r="E1029" s="9">
        <v>5549</v>
      </c>
      <c r="F1029" s="10">
        <v>83313704.170000002</v>
      </c>
      <c r="G1029" s="10">
        <v>5490373.0999999996</v>
      </c>
      <c r="H1029" s="11">
        <v>6.59</v>
      </c>
      <c r="I1029" s="11">
        <v>6.1</v>
      </c>
      <c r="J1029" s="10">
        <v>12579.49</v>
      </c>
      <c r="K1029" s="10">
        <v>10015.67</v>
      </c>
      <c r="L1029" s="10">
        <v>83243716.890000001</v>
      </c>
      <c r="M1029" s="10">
        <v>83300723.810000002</v>
      </c>
      <c r="N1029" s="10">
        <v>69987.28</v>
      </c>
      <c r="O1029" s="10">
        <v>83258504.989999995</v>
      </c>
      <c r="P1029" s="10">
        <v>83247036.549999997</v>
      </c>
      <c r="Q1029" s="10">
        <v>11468.44</v>
      </c>
      <c r="R1029" s="10">
        <v>5082135.96</v>
      </c>
      <c r="S1029" s="10">
        <v>408237.15</v>
      </c>
      <c r="T1029" s="10">
        <v>29926.13</v>
      </c>
      <c r="U1029" s="10">
        <v>55428.79</v>
      </c>
      <c r="V1029" s="10">
        <v>9020.41</v>
      </c>
      <c r="W1029" s="10">
        <v>5767.69</v>
      </c>
      <c r="X1029" s="10">
        <v>4887.87</v>
      </c>
      <c r="Y1029" s="9">
        <v>3554489</v>
      </c>
    </row>
    <row r="1030" spans="1:25" ht="16.05" customHeight="1" x14ac:dyDescent="0.3">
      <c r="A1030" s="2">
        <v>1980</v>
      </c>
      <c r="B1030" s="2">
        <v>29</v>
      </c>
      <c r="C1030" s="2">
        <v>2024</v>
      </c>
      <c r="D1030" s="3" t="s">
        <v>31</v>
      </c>
      <c r="E1030" s="4">
        <v>3150</v>
      </c>
      <c r="F1030" s="5">
        <v>217351780.40000001</v>
      </c>
      <c r="G1030" s="5">
        <v>56489727.729999997</v>
      </c>
      <c r="H1030" s="6">
        <v>25.99</v>
      </c>
      <c r="I1030" s="6">
        <v>12.26</v>
      </c>
      <c r="J1030" s="5">
        <v>11603.28</v>
      </c>
      <c r="K1030" s="5">
        <v>7845.1</v>
      </c>
      <c r="L1030" s="5">
        <v>217266692.19999999</v>
      </c>
      <c r="M1030" s="5">
        <v>217344712.59999999</v>
      </c>
      <c r="N1030" s="5">
        <v>85088.17</v>
      </c>
      <c r="O1030" s="5">
        <v>217282060.80000001</v>
      </c>
      <c r="P1030" s="5">
        <v>217278251.80000001</v>
      </c>
      <c r="Q1030" s="5">
        <v>3808.95</v>
      </c>
      <c r="R1030" s="5">
        <v>26647328.280000001</v>
      </c>
      <c r="S1030" s="5">
        <v>29842399.449999999</v>
      </c>
      <c r="T1030" s="5">
        <v>38256.800000000003</v>
      </c>
      <c r="U1030" s="5">
        <v>48525.279999999999</v>
      </c>
      <c r="V1030" s="5">
        <v>10103.709999999999</v>
      </c>
      <c r="W1030" s="5">
        <v>5264.84</v>
      </c>
      <c r="X1030" s="5">
        <v>2730.57</v>
      </c>
      <c r="Y1030" s="4">
        <v>4943529</v>
      </c>
    </row>
    <row r="1031" spans="1:25" ht="16.05" customHeight="1" x14ac:dyDescent="0.3">
      <c r="A1031" s="7">
        <v>2050</v>
      </c>
      <c r="B1031" s="7">
        <v>30</v>
      </c>
      <c r="C1031" s="7">
        <v>2024</v>
      </c>
      <c r="D1031" s="8" t="s">
        <v>31</v>
      </c>
      <c r="E1031" s="9">
        <v>6793</v>
      </c>
      <c r="F1031" s="10">
        <v>356929224.19999999</v>
      </c>
      <c r="G1031" s="10">
        <v>19809571.940000001</v>
      </c>
      <c r="H1031" s="11">
        <v>5.55</v>
      </c>
      <c r="I1031" s="11">
        <v>15.87</v>
      </c>
      <c r="J1031" s="10">
        <v>13432.42</v>
      </c>
      <c r="K1031" s="10">
        <v>15406.45</v>
      </c>
      <c r="L1031" s="10">
        <v>356892092.80000001</v>
      </c>
      <c r="M1031" s="10">
        <v>356907972.60000002</v>
      </c>
      <c r="N1031" s="10">
        <v>37131.410000000003</v>
      </c>
      <c r="O1031" s="10">
        <v>356905594.80000001</v>
      </c>
      <c r="P1031" s="10">
        <v>356899252.30000001</v>
      </c>
      <c r="Q1031" s="10">
        <v>6342.58</v>
      </c>
      <c r="R1031" s="10">
        <v>56644667.880000003</v>
      </c>
      <c r="S1031" s="10">
        <v>-36835095.939999998</v>
      </c>
      <c r="T1031" s="10">
        <v>32866.639999999999</v>
      </c>
      <c r="U1031" s="10">
        <v>26436.34</v>
      </c>
      <c r="V1031" s="10">
        <v>10425.94</v>
      </c>
      <c r="W1031" s="10">
        <v>3076.11</v>
      </c>
      <c r="X1031" s="10">
        <v>2129.87</v>
      </c>
      <c r="Y1031" s="9">
        <v>4792174</v>
      </c>
    </row>
    <row r="1032" spans="1:25" ht="16.05" customHeight="1" x14ac:dyDescent="0.3">
      <c r="A1032" s="2">
        <v>2120</v>
      </c>
      <c r="B1032" s="2">
        <v>31</v>
      </c>
      <c r="C1032" s="2">
        <v>2024</v>
      </c>
      <c r="D1032" s="3" t="s">
        <v>31</v>
      </c>
      <c r="E1032" s="4">
        <v>6145</v>
      </c>
      <c r="F1032" s="5">
        <v>254580666.69999999</v>
      </c>
      <c r="G1032" s="5">
        <v>28513034.670000002</v>
      </c>
      <c r="H1032" s="6">
        <v>11.2</v>
      </c>
      <c r="I1032" s="6">
        <v>5.86</v>
      </c>
      <c r="J1032" s="5">
        <v>14480.65</v>
      </c>
      <c r="K1032" s="5">
        <v>4041.8</v>
      </c>
      <c r="L1032" s="5">
        <v>254544180.19999999</v>
      </c>
      <c r="M1032" s="5">
        <v>254566673.40000001</v>
      </c>
      <c r="N1032" s="5">
        <v>36486.42</v>
      </c>
      <c r="O1032" s="5">
        <v>254555807</v>
      </c>
      <c r="P1032" s="5">
        <v>254542060.19999999</v>
      </c>
      <c r="Q1032" s="5">
        <v>13746.8</v>
      </c>
      <c r="R1032" s="5">
        <v>14918427.07</v>
      </c>
      <c r="S1032" s="5">
        <v>13594607.6</v>
      </c>
      <c r="T1032" s="5">
        <v>61934.93</v>
      </c>
      <c r="U1032" s="5">
        <v>36946.89</v>
      </c>
      <c r="V1032" s="5">
        <v>8449.6299999999992</v>
      </c>
      <c r="W1032" s="5">
        <v>3177.16</v>
      </c>
      <c r="X1032" s="5">
        <v>4572.43</v>
      </c>
      <c r="Y1032" s="4">
        <v>2122872</v>
      </c>
    </row>
    <row r="1033" spans="1:25" ht="16.05" customHeight="1" x14ac:dyDescent="0.3">
      <c r="A1033" s="7">
        <v>2190</v>
      </c>
      <c r="B1033" s="7">
        <v>32</v>
      </c>
      <c r="C1033" s="7">
        <v>2024</v>
      </c>
      <c r="D1033" s="8" t="s">
        <v>31</v>
      </c>
      <c r="E1033" s="9">
        <v>6405</v>
      </c>
      <c r="F1033" s="10">
        <v>257294834.69999999</v>
      </c>
      <c r="G1033" s="10">
        <v>74100912.390000001</v>
      </c>
      <c r="H1033" s="11">
        <v>28.8</v>
      </c>
      <c r="I1033" s="11">
        <v>16.64</v>
      </c>
      <c r="J1033" s="10">
        <v>6772.4</v>
      </c>
      <c r="K1033" s="10">
        <v>2475.12</v>
      </c>
      <c r="L1033" s="10">
        <v>257215060.59999999</v>
      </c>
      <c r="M1033" s="10">
        <v>257274368.90000001</v>
      </c>
      <c r="N1033" s="10">
        <v>79774.06</v>
      </c>
      <c r="O1033" s="10">
        <v>257223562.5</v>
      </c>
      <c r="P1033" s="10">
        <v>257219013.30000001</v>
      </c>
      <c r="Q1033" s="10">
        <v>4549.25</v>
      </c>
      <c r="R1033" s="10">
        <v>42813860.490000002</v>
      </c>
      <c r="S1033" s="10">
        <v>31287051.899999999</v>
      </c>
      <c r="T1033" s="10">
        <v>43897.87</v>
      </c>
      <c r="U1033" s="10">
        <v>40872.639999999999</v>
      </c>
      <c r="V1033" s="10">
        <v>5999.78</v>
      </c>
      <c r="W1033" s="10">
        <v>2502.11</v>
      </c>
      <c r="X1033" s="10">
        <v>3954.99</v>
      </c>
      <c r="Y1033" s="9">
        <v>2780953</v>
      </c>
    </row>
    <row r="1034" spans="1:25" ht="16.05" customHeight="1" x14ac:dyDescent="0.3">
      <c r="A1034" s="2">
        <v>2260</v>
      </c>
      <c r="B1034" s="2">
        <v>33</v>
      </c>
      <c r="C1034" s="2">
        <v>2024</v>
      </c>
      <c r="D1034" s="3" t="s">
        <v>31</v>
      </c>
      <c r="E1034" s="4">
        <v>4784</v>
      </c>
      <c r="F1034" s="5">
        <v>281975680.30000001</v>
      </c>
      <c r="G1034" s="5">
        <v>14549945.1</v>
      </c>
      <c r="H1034" s="6">
        <v>5.16</v>
      </c>
      <c r="I1034" s="6">
        <v>11.6</v>
      </c>
      <c r="J1034" s="5">
        <v>13524.67</v>
      </c>
      <c r="K1034" s="5">
        <v>8667.08</v>
      </c>
      <c r="L1034" s="5">
        <v>281931017.89999998</v>
      </c>
      <c r="M1034" s="5">
        <v>281958643.60000002</v>
      </c>
      <c r="N1034" s="5">
        <v>44662.43</v>
      </c>
      <c r="O1034" s="5">
        <v>281939827.30000001</v>
      </c>
      <c r="P1034" s="5">
        <v>281933375.30000001</v>
      </c>
      <c r="Q1034" s="5">
        <v>6452</v>
      </c>
      <c r="R1034" s="5">
        <v>32709178.91</v>
      </c>
      <c r="S1034" s="5">
        <v>-18159233.809999999</v>
      </c>
      <c r="T1034" s="5">
        <v>46489</v>
      </c>
      <c r="U1034" s="5">
        <v>10249.33</v>
      </c>
      <c r="V1034" s="5">
        <v>6684.05</v>
      </c>
      <c r="W1034" s="5">
        <v>2125.4299999999998</v>
      </c>
      <c r="X1034" s="5">
        <v>3783.79</v>
      </c>
      <c r="Y1034" s="4">
        <v>2104237</v>
      </c>
    </row>
    <row r="1035" spans="1:25" ht="16.05" customHeight="1" x14ac:dyDescent="0.3">
      <c r="A1035" s="7">
        <v>2330</v>
      </c>
      <c r="B1035" s="7">
        <v>34</v>
      </c>
      <c r="C1035" s="7">
        <v>2024</v>
      </c>
      <c r="D1035" s="8" t="s">
        <v>31</v>
      </c>
      <c r="E1035" s="9">
        <v>5438</v>
      </c>
      <c r="F1035" s="10">
        <v>364945775.5</v>
      </c>
      <c r="G1035" s="10">
        <v>101564409.3</v>
      </c>
      <c r="H1035" s="11">
        <v>27.83</v>
      </c>
      <c r="I1035" s="11">
        <v>6.93</v>
      </c>
      <c r="J1035" s="10">
        <v>8778.51</v>
      </c>
      <c r="K1035" s="10">
        <v>2773.43</v>
      </c>
      <c r="L1035" s="10">
        <v>364893273.19999999</v>
      </c>
      <c r="M1035" s="10">
        <v>364936292.89999998</v>
      </c>
      <c r="N1035" s="10">
        <v>52502.35</v>
      </c>
      <c r="O1035" s="10">
        <v>364904989.60000002</v>
      </c>
      <c r="P1035" s="10">
        <v>364892567.5</v>
      </c>
      <c r="Q1035" s="10">
        <v>12422.04</v>
      </c>
      <c r="R1035" s="10">
        <v>25290742.25</v>
      </c>
      <c r="S1035" s="10">
        <v>76273667.090000004</v>
      </c>
      <c r="T1035" s="10">
        <v>53544.81</v>
      </c>
      <c r="U1035" s="10">
        <v>27726.76</v>
      </c>
      <c r="V1035" s="10">
        <v>8629.4599999999991</v>
      </c>
      <c r="W1035" s="10">
        <v>3086.9</v>
      </c>
      <c r="X1035" s="10">
        <v>3479.66</v>
      </c>
      <c r="Y1035" s="9">
        <v>1196938</v>
      </c>
    </row>
    <row r="1036" spans="1:25" ht="16.05" customHeight="1" x14ac:dyDescent="0.3">
      <c r="A1036" s="2">
        <v>2400</v>
      </c>
      <c r="B1036" s="2">
        <v>35</v>
      </c>
      <c r="C1036" s="2">
        <v>2024</v>
      </c>
      <c r="D1036" s="3" t="s">
        <v>31</v>
      </c>
      <c r="E1036" s="4">
        <v>182</v>
      </c>
      <c r="F1036" s="5">
        <v>11646867.83</v>
      </c>
      <c r="G1036" s="5">
        <v>1317260.75</v>
      </c>
      <c r="H1036" s="6">
        <v>11.31</v>
      </c>
      <c r="I1036" s="6">
        <v>5.22</v>
      </c>
      <c r="J1036" s="5">
        <v>5137.82</v>
      </c>
      <c r="K1036" s="5">
        <v>11082.28</v>
      </c>
      <c r="L1036" s="5">
        <v>11547573.85</v>
      </c>
      <c r="M1036" s="5">
        <v>11642764.890000001</v>
      </c>
      <c r="N1036" s="5">
        <v>99293.98</v>
      </c>
      <c r="O1036" s="5">
        <v>11560584.810000001</v>
      </c>
      <c r="P1036" s="5">
        <v>11554720.92</v>
      </c>
      <c r="Q1036" s="5">
        <v>5863.89</v>
      </c>
      <c r="R1036" s="5">
        <v>607966.5</v>
      </c>
      <c r="S1036" s="5">
        <v>709294.25</v>
      </c>
      <c r="T1036" s="5">
        <v>26064.17</v>
      </c>
      <c r="U1036" s="5">
        <v>58524.65</v>
      </c>
      <c r="V1036" s="5">
        <v>6504.52</v>
      </c>
      <c r="W1036" s="5">
        <v>6506.44</v>
      </c>
      <c r="X1036" s="5">
        <v>1506.48</v>
      </c>
      <c r="Y1036" s="4">
        <v>1012941</v>
      </c>
    </row>
    <row r="1037" spans="1:25" ht="16.05" customHeight="1" x14ac:dyDescent="0.3">
      <c r="A1037" s="7">
        <v>2470</v>
      </c>
      <c r="B1037" s="7">
        <v>36</v>
      </c>
      <c r="C1037" s="7">
        <v>2024</v>
      </c>
      <c r="D1037" s="8" t="s">
        <v>31</v>
      </c>
      <c r="E1037" s="9">
        <v>5887</v>
      </c>
      <c r="F1037" s="10">
        <v>149927902</v>
      </c>
      <c r="G1037" s="10">
        <v>24408262.440000001</v>
      </c>
      <c r="H1037" s="11">
        <v>16.28</v>
      </c>
      <c r="I1037" s="11">
        <v>7.05</v>
      </c>
      <c r="J1037" s="10">
        <v>6832.92</v>
      </c>
      <c r="K1037" s="10">
        <v>8217.66</v>
      </c>
      <c r="L1037" s="10">
        <v>149896224.80000001</v>
      </c>
      <c r="M1037" s="10">
        <v>149919163.19999999</v>
      </c>
      <c r="N1037" s="10">
        <v>31677.18</v>
      </c>
      <c r="O1037" s="10">
        <v>149913017</v>
      </c>
      <c r="P1037" s="10">
        <v>149900762.80000001</v>
      </c>
      <c r="Q1037" s="10">
        <v>12254.25</v>
      </c>
      <c r="R1037" s="10">
        <v>10569917.09</v>
      </c>
      <c r="S1037" s="10">
        <v>13838345.35</v>
      </c>
      <c r="T1037" s="10">
        <v>72983.53</v>
      </c>
      <c r="U1037" s="10">
        <v>18688.18</v>
      </c>
      <c r="V1037" s="10">
        <v>10751.22</v>
      </c>
      <c r="W1037" s="10">
        <v>6041.03</v>
      </c>
      <c r="X1037" s="10">
        <v>4735.97</v>
      </c>
      <c r="Y1037" s="9">
        <v>3088184</v>
      </c>
    </row>
    <row r="1038" spans="1:25" ht="16.05" customHeight="1" x14ac:dyDescent="0.3">
      <c r="A1038" s="2">
        <v>2540</v>
      </c>
      <c r="B1038" s="2">
        <v>37</v>
      </c>
      <c r="C1038" s="2">
        <v>2024</v>
      </c>
      <c r="D1038" s="3" t="s">
        <v>31</v>
      </c>
      <c r="E1038" s="4">
        <v>6742</v>
      </c>
      <c r="F1038" s="5">
        <v>150029261.30000001</v>
      </c>
      <c r="G1038" s="5">
        <v>30080866.890000001</v>
      </c>
      <c r="H1038" s="6">
        <v>20.05</v>
      </c>
      <c r="I1038" s="6">
        <v>14.16</v>
      </c>
      <c r="J1038" s="5">
        <v>14875.3</v>
      </c>
      <c r="K1038" s="5">
        <v>9689.8799999999992</v>
      </c>
      <c r="L1038" s="5">
        <v>149938550.69999999</v>
      </c>
      <c r="M1038" s="5">
        <v>150021577.5</v>
      </c>
      <c r="N1038" s="5">
        <v>90710.6</v>
      </c>
      <c r="O1038" s="5">
        <v>149951637.09999999</v>
      </c>
      <c r="P1038" s="5">
        <v>149944369.90000001</v>
      </c>
      <c r="Q1038" s="5">
        <v>7267.21</v>
      </c>
      <c r="R1038" s="5">
        <v>21244143.399999999</v>
      </c>
      <c r="S1038" s="5">
        <v>8836723.4900000002</v>
      </c>
      <c r="T1038" s="5">
        <v>108454.82</v>
      </c>
      <c r="U1038" s="5">
        <v>46889.85</v>
      </c>
      <c r="V1038" s="5">
        <v>6429.11</v>
      </c>
      <c r="W1038" s="5">
        <v>6657.36</v>
      </c>
      <c r="X1038" s="5">
        <v>3513.42</v>
      </c>
      <c r="Y1038" s="4">
        <v>2408606</v>
      </c>
    </row>
    <row r="1039" spans="1:25" ht="16.05" customHeight="1" x14ac:dyDescent="0.3">
      <c r="A1039" s="7">
        <v>2610</v>
      </c>
      <c r="B1039" s="7">
        <v>38</v>
      </c>
      <c r="C1039" s="7">
        <v>2024</v>
      </c>
      <c r="D1039" s="8" t="s">
        <v>31</v>
      </c>
      <c r="E1039" s="9">
        <v>6166</v>
      </c>
      <c r="F1039" s="10">
        <v>400243435.80000001</v>
      </c>
      <c r="G1039" s="10">
        <v>53592596.049999997</v>
      </c>
      <c r="H1039" s="11">
        <v>13.39</v>
      </c>
      <c r="I1039" s="11">
        <v>11.71</v>
      </c>
      <c r="J1039" s="10">
        <v>2476.08</v>
      </c>
      <c r="K1039" s="10">
        <v>15887.43</v>
      </c>
      <c r="L1039" s="10">
        <v>400165061.39999998</v>
      </c>
      <c r="M1039" s="10">
        <v>400225156.19999999</v>
      </c>
      <c r="N1039" s="10">
        <v>78374.38</v>
      </c>
      <c r="O1039" s="10">
        <v>400172478.60000002</v>
      </c>
      <c r="P1039" s="10">
        <v>400169505.30000001</v>
      </c>
      <c r="Q1039" s="10">
        <v>2973.24</v>
      </c>
      <c r="R1039" s="10">
        <v>46868506.329999998</v>
      </c>
      <c r="S1039" s="10">
        <v>6724089.7199999997</v>
      </c>
      <c r="T1039" s="10">
        <v>48405.43</v>
      </c>
      <c r="U1039" s="10">
        <v>35894.01</v>
      </c>
      <c r="V1039" s="10">
        <v>4077.5</v>
      </c>
      <c r="W1039" s="10">
        <v>3339.66</v>
      </c>
      <c r="X1039" s="10">
        <v>1466.45</v>
      </c>
      <c r="Y1039" s="9">
        <v>1498384</v>
      </c>
    </row>
    <row r="1040" spans="1:25" ht="16.05" customHeight="1" x14ac:dyDescent="0.3">
      <c r="A1040" s="2">
        <v>2680</v>
      </c>
      <c r="B1040" s="2">
        <v>39</v>
      </c>
      <c r="C1040" s="2">
        <v>2024</v>
      </c>
      <c r="D1040" s="3" t="s">
        <v>31</v>
      </c>
      <c r="E1040" s="4">
        <v>2110</v>
      </c>
      <c r="F1040" s="5">
        <v>37256297.950000003</v>
      </c>
      <c r="G1040" s="5">
        <v>2861283.68</v>
      </c>
      <c r="H1040" s="6">
        <v>7.68</v>
      </c>
      <c r="I1040" s="6">
        <v>5.73</v>
      </c>
      <c r="J1040" s="5">
        <v>5270.39</v>
      </c>
      <c r="K1040" s="5">
        <v>16441.7</v>
      </c>
      <c r="L1040" s="5">
        <v>37210257.670000002</v>
      </c>
      <c r="M1040" s="5">
        <v>37245143.560000002</v>
      </c>
      <c r="N1040" s="5">
        <v>46040.28</v>
      </c>
      <c r="O1040" s="5">
        <v>37219028.57</v>
      </c>
      <c r="P1040" s="5">
        <v>37207549.909999996</v>
      </c>
      <c r="Q1040" s="5">
        <v>11478.66</v>
      </c>
      <c r="R1040" s="5">
        <v>2134785.87</v>
      </c>
      <c r="S1040" s="5">
        <v>726497.81</v>
      </c>
      <c r="T1040" s="5">
        <v>87995.22</v>
      </c>
      <c r="U1040" s="5">
        <v>15591.83</v>
      </c>
      <c r="V1040" s="5">
        <v>6230.31</v>
      </c>
      <c r="W1040" s="5">
        <v>2540.59</v>
      </c>
      <c r="X1040" s="5">
        <v>4499.0600000000004</v>
      </c>
      <c r="Y1040" s="4">
        <v>3597523</v>
      </c>
    </row>
    <row r="1041" spans="1:25" ht="16.05" customHeight="1" x14ac:dyDescent="0.3">
      <c r="A1041" s="7">
        <v>2750</v>
      </c>
      <c r="B1041" s="7">
        <v>40</v>
      </c>
      <c r="C1041" s="7">
        <v>2024</v>
      </c>
      <c r="D1041" s="8" t="s">
        <v>31</v>
      </c>
      <c r="E1041" s="9">
        <v>3353</v>
      </c>
      <c r="F1041" s="10">
        <v>162054486.40000001</v>
      </c>
      <c r="G1041" s="10">
        <v>26836222.940000001</v>
      </c>
      <c r="H1041" s="11">
        <v>16.559999999999999</v>
      </c>
      <c r="I1041" s="11">
        <v>9.34</v>
      </c>
      <c r="J1041" s="10">
        <v>6598.75</v>
      </c>
      <c r="K1041" s="10">
        <v>4941.4799999999996</v>
      </c>
      <c r="L1041" s="10">
        <v>161970530.30000001</v>
      </c>
      <c r="M1041" s="10">
        <v>162047305.5</v>
      </c>
      <c r="N1041" s="10">
        <v>83956.03</v>
      </c>
      <c r="O1041" s="10">
        <v>161977763.40000001</v>
      </c>
      <c r="P1041" s="10">
        <v>161971586.80000001</v>
      </c>
      <c r="Q1041" s="10">
        <v>6176.56</v>
      </c>
      <c r="R1041" s="10">
        <v>15135889.029999999</v>
      </c>
      <c r="S1041" s="10">
        <v>11700333.92</v>
      </c>
      <c r="T1041" s="10">
        <v>115670.11</v>
      </c>
      <c r="U1041" s="10">
        <v>39034.17</v>
      </c>
      <c r="V1041" s="10">
        <v>5484.28</v>
      </c>
      <c r="W1041" s="10">
        <v>1748.75</v>
      </c>
      <c r="X1041" s="10">
        <v>4101.03</v>
      </c>
      <c r="Y1041" s="9">
        <v>4113386</v>
      </c>
    </row>
    <row r="1042" spans="1:25" ht="16.05" customHeight="1" x14ac:dyDescent="0.3">
      <c r="A1042" s="2">
        <v>2820</v>
      </c>
      <c r="B1042" s="2">
        <v>41</v>
      </c>
      <c r="C1042" s="2">
        <v>2024</v>
      </c>
      <c r="D1042" s="3" t="s">
        <v>31</v>
      </c>
      <c r="E1042" s="4">
        <v>2321</v>
      </c>
      <c r="F1042" s="5">
        <v>147446603.19999999</v>
      </c>
      <c r="G1042" s="5">
        <v>40665773.159999996</v>
      </c>
      <c r="H1042" s="6">
        <v>27.58</v>
      </c>
      <c r="I1042" s="6">
        <v>10.96</v>
      </c>
      <c r="J1042" s="5">
        <v>5656.19</v>
      </c>
      <c r="K1042" s="5">
        <v>3218.8</v>
      </c>
      <c r="L1042" s="5">
        <v>147411710.69999999</v>
      </c>
      <c r="M1042" s="5">
        <v>147436050.19999999</v>
      </c>
      <c r="N1042" s="5">
        <v>34892.480000000003</v>
      </c>
      <c r="O1042" s="5">
        <v>147416834.19999999</v>
      </c>
      <c r="P1042" s="5">
        <v>147414919.40000001</v>
      </c>
      <c r="Q1042" s="5">
        <v>1914.81</v>
      </c>
      <c r="R1042" s="5">
        <v>16160147.710000001</v>
      </c>
      <c r="S1042" s="5">
        <v>24505625.449999999</v>
      </c>
      <c r="T1042" s="5">
        <v>66052.75</v>
      </c>
      <c r="U1042" s="5">
        <v>23725.69</v>
      </c>
      <c r="V1042" s="5">
        <v>1697.39</v>
      </c>
      <c r="W1042" s="5">
        <v>3426.12</v>
      </c>
      <c r="X1042" s="5">
        <v>3992.44</v>
      </c>
      <c r="Y1042" s="4">
        <v>2411455</v>
      </c>
    </row>
    <row r="1043" spans="1:25" ht="16.05" customHeight="1" x14ac:dyDescent="0.3">
      <c r="A1043" s="7">
        <v>2890</v>
      </c>
      <c r="B1043" s="7">
        <v>42</v>
      </c>
      <c r="C1043" s="7">
        <v>2024</v>
      </c>
      <c r="D1043" s="8" t="s">
        <v>31</v>
      </c>
      <c r="E1043" s="9">
        <v>2253</v>
      </c>
      <c r="F1043" s="10">
        <v>99399852.530000001</v>
      </c>
      <c r="G1043" s="10">
        <v>7077269.5</v>
      </c>
      <c r="H1043" s="11">
        <v>7.12</v>
      </c>
      <c r="I1043" s="11">
        <v>9.7200000000000006</v>
      </c>
      <c r="J1043" s="10">
        <v>12753.67</v>
      </c>
      <c r="K1043" s="10">
        <v>11312.34</v>
      </c>
      <c r="L1043" s="10">
        <v>99388166.049999997</v>
      </c>
      <c r="M1043" s="10">
        <v>99382633.290000007</v>
      </c>
      <c r="N1043" s="10">
        <v>11686.48</v>
      </c>
      <c r="O1043" s="10">
        <v>99406174.920000002</v>
      </c>
      <c r="P1043" s="10">
        <v>99393759.870000005</v>
      </c>
      <c r="Q1043" s="10">
        <v>12415.05</v>
      </c>
      <c r="R1043" s="10">
        <v>9661665.6699999999</v>
      </c>
      <c r="S1043" s="10">
        <v>-2584396.17</v>
      </c>
      <c r="T1043" s="10">
        <v>99662.73</v>
      </c>
      <c r="U1043" s="10">
        <v>27839</v>
      </c>
      <c r="V1043" s="10">
        <v>11899.89</v>
      </c>
      <c r="W1043" s="10">
        <v>6108.98</v>
      </c>
      <c r="X1043" s="10">
        <v>2629.2</v>
      </c>
      <c r="Y1043" s="9">
        <v>4095476</v>
      </c>
    </row>
    <row r="1044" spans="1:25" ht="16.05" customHeight="1" x14ac:dyDescent="0.3">
      <c r="A1044" s="2">
        <v>2960</v>
      </c>
      <c r="B1044" s="2">
        <v>43</v>
      </c>
      <c r="C1044" s="2">
        <v>2024</v>
      </c>
      <c r="D1044" s="3" t="s">
        <v>31</v>
      </c>
      <c r="E1044" s="4">
        <v>3824</v>
      </c>
      <c r="F1044" s="5">
        <v>21105230.100000001</v>
      </c>
      <c r="G1044" s="5">
        <v>4161951.38</v>
      </c>
      <c r="H1044" s="6">
        <v>19.72</v>
      </c>
      <c r="I1044" s="6">
        <v>5.64</v>
      </c>
      <c r="J1044" s="5">
        <v>5651.56</v>
      </c>
      <c r="K1044" s="5">
        <v>13336.26</v>
      </c>
      <c r="L1044" s="5">
        <v>21064041.420000002</v>
      </c>
      <c r="M1044" s="5">
        <v>21079851.199999999</v>
      </c>
      <c r="N1044" s="5">
        <v>41188.68</v>
      </c>
      <c r="O1044" s="5">
        <v>21077855.18</v>
      </c>
      <c r="P1044" s="5">
        <v>21070273.120000001</v>
      </c>
      <c r="Q1044" s="5">
        <v>7582.06</v>
      </c>
      <c r="R1044" s="5">
        <v>1190334.98</v>
      </c>
      <c r="S1044" s="5">
        <v>2971616.4</v>
      </c>
      <c r="T1044" s="5">
        <v>88661.16</v>
      </c>
      <c r="U1044" s="5">
        <v>29297.32</v>
      </c>
      <c r="V1044" s="5">
        <v>10320.24</v>
      </c>
      <c r="W1044" s="5">
        <v>3493.52</v>
      </c>
      <c r="X1044" s="5">
        <v>3389.81</v>
      </c>
      <c r="Y1044" s="4">
        <v>2548118</v>
      </c>
    </row>
    <row r="1045" spans="1:25" ht="16.05" customHeight="1" x14ac:dyDescent="0.3">
      <c r="A1045" s="7">
        <v>3030</v>
      </c>
      <c r="B1045" s="7">
        <v>44</v>
      </c>
      <c r="C1045" s="7">
        <v>2024</v>
      </c>
      <c r="D1045" s="8" t="s">
        <v>31</v>
      </c>
      <c r="E1045" s="9">
        <v>3618</v>
      </c>
      <c r="F1045" s="10">
        <v>179042611.80000001</v>
      </c>
      <c r="G1045" s="10">
        <v>21610443.25</v>
      </c>
      <c r="H1045" s="11">
        <v>12.07</v>
      </c>
      <c r="I1045" s="11">
        <v>8.6300000000000008</v>
      </c>
      <c r="J1045" s="10">
        <v>12438.2</v>
      </c>
      <c r="K1045" s="10">
        <v>8253.41</v>
      </c>
      <c r="L1045" s="10">
        <v>178972236.30000001</v>
      </c>
      <c r="M1045" s="10">
        <v>179021656.19999999</v>
      </c>
      <c r="N1045" s="10">
        <v>70375.58</v>
      </c>
      <c r="O1045" s="10">
        <v>178978782.69999999</v>
      </c>
      <c r="P1045" s="10">
        <v>178971405.59999999</v>
      </c>
      <c r="Q1045" s="10">
        <v>7377.19</v>
      </c>
      <c r="R1045" s="10">
        <v>15451377.4</v>
      </c>
      <c r="S1045" s="10">
        <v>6159065.8499999996</v>
      </c>
      <c r="T1045" s="10">
        <v>102612.26</v>
      </c>
      <c r="U1045" s="10">
        <v>32648.3</v>
      </c>
      <c r="V1045" s="10">
        <v>4826.24</v>
      </c>
      <c r="W1045" s="10">
        <v>1720.24</v>
      </c>
      <c r="X1045" s="10">
        <v>2161.44</v>
      </c>
      <c r="Y1045" s="9">
        <v>2780248</v>
      </c>
    </row>
    <row r="1046" spans="1:25" ht="16.05" customHeight="1" x14ac:dyDescent="0.3">
      <c r="A1046" s="2">
        <v>3100</v>
      </c>
      <c r="B1046" s="2">
        <v>45</v>
      </c>
      <c r="C1046" s="2">
        <v>2024</v>
      </c>
      <c r="D1046" s="3" t="s">
        <v>31</v>
      </c>
      <c r="E1046" s="4">
        <v>1608</v>
      </c>
      <c r="F1046" s="5">
        <v>11958130.02</v>
      </c>
      <c r="G1046" s="5">
        <v>1039161.5</v>
      </c>
      <c r="H1046" s="6">
        <v>8.69</v>
      </c>
      <c r="I1046" s="6">
        <v>10.7</v>
      </c>
      <c r="J1046" s="5">
        <v>6700.71</v>
      </c>
      <c r="K1046" s="5">
        <v>19869.13</v>
      </c>
      <c r="L1046" s="5">
        <v>11869657.039999999</v>
      </c>
      <c r="M1046" s="5">
        <v>11941579.5</v>
      </c>
      <c r="N1046" s="5">
        <v>88472.98</v>
      </c>
      <c r="O1046" s="5">
        <v>11882464.539999999</v>
      </c>
      <c r="P1046" s="5">
        <v>11878662.48</v>
      </c>
      <c r="Q1046" s="5">
        <v>3802.06</v>
      </c>
      <c r="R1046" s="5">
        <v>1279519.9099999999</v>
      </c>
      <c r="S1046" s="5">
        <v>-240358.41</v>
      </c>
      <c r="T1046" s="5">
        <v>23039.35</v>
      </c>
      <c r="U1046" s="5">
        <v>14465.83</v>
      </c>
      <c r="V1046" s="5">
        <v>6579.3</v>
      </c>
      <c r="W1046" s="5">
        <v>6228.2</v>
      </c>
      <c r="X1046" s="5">
        <v>1920.23</v>
      </c>
      <c r="Y1046" s="4">
        <v>1082877</v>
      </c>
    </row>
    <row r="1047" spans="1:25" ht="16.05" customHeight="1" x14ac:dyDescent="0.3">
      <c r="A1047" s="7">
        <v>3170</v>
      </c>
      <c r="B1047" s="7">
        <v>46</v>
      </c>
      <c r="C1047" s="7">
        <v>2024</v>
      </c>
      <c r="D1047" s="8" t="s">
        <v>31</v>
      </c>
      <c r="E1047" s="9">
        <v>2515</v>
      </c>
      <c r="F1047" s="10">
        <v>83189719.659999996</v>
      </c>
      <c r="G1047" s="10">
        <v>10581732.34</v>
      </c>
      <c r="H1047" s="11">
        <v>12.72</v>
      </c>
      <c r="I1047" s="11">
        <v>14.26</v>
      </c>
      <c r="J1047" s="10">
        <v>14185.4</v>
      </c>
      <c r="K1047" s="10">
        <v>9462.42</v>
      </c>
      <c r="L1047" s="10">
        <v>83171396.019999996</v>
      </c>
      <c r="M1047" s="10">
        <v>83170489.079999998</v>
      </c>
      <c r="N1047" s="10">
        <v>18323.64</v>
      </c>
      <c r="O1047" s="10">
        <v>83182343.900000006</v>
      </c>
      <c r="P1047" s="10">
        <v>83174707.510000005</v>
      </c>
      <c r="Q1047" s="10">
        <v>7636.39</v>
      </c>
      <c r="R1047" s="10">
        <v>11862854.02</v>
      </c>
      <c r="S1047" s="10">
        <v>-1281121.68</v>
      </c>
      <c r="T1047" s="10">
        <v>23142.34</v>
      </c>
      <c r="U1047" s="10">
        <v>41122.94</v>
      </c>
      <c r="V1047" s="10">
        <v>8249.25</v>
      </c>
      <c r="W1047" s="10">
        <v>2698.63</v>
      </c>
      <c r="X1047" s="10">
        <v>4626.6899999999996</v>
      </c>
      <c r="Y1047" s="9">
        <v>2373978</v>
      </c>
    </row>
    <row r="1048" spans="1:25" ht="16.05" customHeight="1" x14ac:dyDescent="0.3">
      <c r="A1048" s="2">
        <v>3240</v>
      </c>
      <c r="B1048" s="2">
        <v>47</v>
      </c>
      <c r="C1048" s="2">
        <v>2024</v>
      </c>
      <c r="D1048" s="3" t="s">
        <v>31</v>
      </c>
      <c r="E1048" s="4">
        <v>491</v>
      </c>
      <c r="F1048" s="5">
        <v>4938597.67</v>
      </c>
      <c r="G1048" s="5">
        <v>891910.74</v>
      </c>
      <c r="H1048" s="6">
        <v>18.059999999999999</v>
      </c>
      <c r="I1048" s="6">
        <v>18.600000000000001</v>
      </c>
      <c r="J1048" s="5">
        <v>8189.17</v>
      </c>
      <c r="K1048" s="5">
        <v>5400.27</v>
      </c>
      <c r="L1048" s="5">
        <v>4908105.76</v>
      </c>
      <c r="M1048" s="5">
        <v>4918335.92</v>
      </c>
      <c r="N1048" s="5">
        <v>30491.91</v>
      </c>
      <c r="O1048" s="5">
        <v>4913778.5599999996</v>
      </c>
      <c r="P1048" s="5">
        <v>4905792.46</v>
      </c>
      <c r="Q1048" s="5">
        <v>7986.1</v>
      </c>
      <c r="R1048" s="5">
        <v>918579.17</v>
      </c>
      <c r="S1048" s="5">
        <v>-26668.43</v>
      </c>
      <c r="T1048" s="5">
        <v>101809.84</v>
      </c>
      <c r="U1048" s="5">
        <v>56596.94</v>
      </c>
      <c r="V1048" s="5">
        <v>2751.67</v>
      </c>
      <c r="W1048" s="5">
        <v>2921.13</v>
      </c>
      <c r="X1048" s="5">
        <v>2262.62</v>
      </c>
      <c r="Y1048" s="4">
        <v>4028580</v>
      </c>
    </row>
    <row r="1049" spans="1:25" ht="16.05" customHeight="1" x14ac:dyDescent="0.3">
      <c r="A1049" s="7">
        <v>3310</v>
      </c>
      <c r="B1049" s="7">
        <v>48</v>
      </c>
      <c r="C1049" s="7">
        <v>2024</v>
      </c>
      <c r="D1049" s="8" t="s">
        <v>31</v>
      </c>
      <c r="E1049" s="9">
        <v>3324</v>
      </c>
      <c r="F1049" s="10">
        <v>221448804.69999999</v>
      </c>
      <c r="G1049" s="10">
        <v>63755110.880000003</v>
      </c>
      <c r="H1049" s="11">
        <v>28.79</v>
      </c>
      <c r="I1049" s="11">
        <v>18.73</v>
      </c>
      <c r="J1049" s="10">
        <v>3372.57</v>
      </c>
      <c r="K1049" s="10">
        <v>12781.57</v>
      </c>
      <c r="L1049" s="10">
        <v>221378534</v>
      </c>
      <c r="M1049" s="10">
        <v>221430176.90000001</v>
      </c>
      <c r="N1049" s="10">
        <v>70270.78</v>
      </c>
      <c r="O1049" s="10">
        <v>221385962.69999999</v>
      </c>
      <c r="P1049" s="10">
        <v>221381670.09999999</v>
      </c>
      <c r="Q1049" s="10">
        <v>4292.63</v>
      </c>
      <c r="R1049" s="10">
        <v>41477361.130000003</v>
      </c>
      <c r="S1049" s="10">
        <v>22277749.760000002</v>
      </c>
      <c r="T1049" s="10">
        <v>34307.980000000003</v>
      </c>
      <c r="U1049" s="10">
        <v>50564.95</v>
      </c>
      <c r="V1049" s="10">
        <v>4597.71</v>
      </c>
      <c r="W1049" s="10">
        <v>2831.08</v>
      </c>
      <c r="X1049" s="10">
        <v>1946.51</v>
      </c>
      <c r="Y1049" s="9">
        <v>1564245</v>
      </c>
    </row>
    <row r="1050" spans="1:25" ht="16.05" customHeight="1" x14ac:dyDescent="0.3">
      <c r="A1050" s="2">
        <v>3380</v>
      </c>
      <c r="B1050" s="2">
        <v>49</v>
      </c>
      <c r="C1050" s="2">
        <v>2024</v>
      </c>
      <c r="D1050" s="3" t="s">
        <v>31</v>
      </c>
      <c r="E1050" s="4">
        <v>379</v>
      </c>
      <c r="F1050" s="5">
        <v>26500786.379999999</v>
      </c>
      <c r="G1050" s="5">
        <v>4685339.03</v>
      </c>
      <c r="H1050" s="6">
        <v>17.68</v>
      </c>
      <c r="I1050" s="6">
        <v>6.26</v>
      </c>
      <c r="J1050" s="5">
        <v>8642.16</v>
      </c>
      <c r="K1050" s="5">
        <v>7929.26</v>
      </c>
      <c r="L1050" s="5">
        <v>26416700.190000001</v>
      </c>
      <c r="M1050" s="5">
        <v>26479054.68</v>
      </c>
      <c r="N1050" s="5">
        <v>84086.19</v>
      </c>
      <c r="O1050" s="5">
        <v>26424384.260000002</v>
      </c>
      <c r="P1050" s="5">
        <v>26422412.210000001</v>
      </c>
      <c r="Q1050" s="5">
        <v>1972.05</v>
      </c>
      <c r="R1050" s="5">
        <v>1658949.23</v>
      </c>
      <c r="S1050" s="5">
        <v>3026389.8</v>
      </c>
      <c r="T1050" s="5">
        <v>31376.79</v>
      </c>
      <c r="U1050" s="5">
        <v>10169.17</v>
      </c>
      <c r="V1050" s="5">
        <v>2274.2800000000002</v>
      </c>
      <c r="W1050" s="5">
        <v>5409.79</v>
      </c>
      <c r="X1050" s="5">
        <v>4732.87</v>
      </c>
      <c r="Y1050" s="4">
        <v>2079710</v>
      </c>
    </row>
    <row r="1051" spans="1:25" ht="16.05" customHeight="1" x14ac:dyDescent="0.3">
      <c r="A1051" s="7">
        <v>3450</v>
      </c>
      <c r="B1051" s="7">
        <v>50</v>
      </c>
      <c r="C1051" s="7">
        <v>2024</v>
      </c>
      <c r="D1051" s="8" t="s">
        <v>31</v>
      </c>
      <c r="E1051" s="9">
        <v>6280</v>
      </c>
      <c r="F1051" s="10">
        <v>43547184.609999999</v>
      </c>
      <c r="G1051" s="10">
        <v>5395496.1699999999</v>
      </c>
      <c r="H1051" s="11">
        <v>12.39</v>
      </c>
      <c r="I1051" s="11">
        <v>18.41</v>
      </c>
      <c r="J1051" s="10">
        <v>8967.5300000000007</v>
      </c>
      <c r="K1051" s="10">
        <v>2942.05</v>
      </c>
      <c r="L1051" s="10">
        <v>43524418.460000001</v>
      </c>
      <c r="M1051" s="10">
        <v>43532004.520000003</v>
      </c>
      <c r="N1051" s="10">
        <v>22766.15</v>
      </c>
      <c r="O1051" s="10">
        <v>43532410.130000003</v>
      </c>
      <c r="P1051" s="10">
        <v>43525337.920000002</v>
      </c>
      <c r="Q1051" s="10">
        <v>7072.21</v>
      </c>
      <c r="R1051" s="10">
        <v>8017036.6900000004</v>
      </c>
      <c r="S1051" s="10">
        <v>-2621540.5099999998</v>
      </c>
      <c r="T1051" s="10">
        <v>78668.84</v>
      </c>
      <c r="U1051" s="10">
        <v>27153.58</v>
      </c>
      <c r="V1051" s="10">
        <v>1341.61</v>
      </c>
      <c r="W1051" s="10">
        <v>6650.06</v>
      </c>
      <c r="X1051" s="10">
        <v>4951.97</v>
      </c>
      <c r="Y1051" s="9">
        <v>4876154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G21"/>
  <sheetViews>
    <sheetView showGridLines="0" zoomScale="69" zoomScaleNormal="100" workbookViewId="0">
      <selection activeCell="B11" sqref="B11"/>
    </sheetView>
  </sheetViews>
  <sheetFormatPr defaultColWidth="8.6640625" defaultRowHeight="15.6" x14ac:dyDescent="0.3"/>
  <cols>
    <col min="1" max="2" width="8.6640625" style="14"/>
    <col min="3" max="3" width="30" style="14" customWidth="1"/>
    <col min="4" max="7" width="20" style="14" customWidth="1"/>
    <col min="8" max="16384" width="8.6640625" style="14"/>
  </cols>
  <sheetData>
    <row r="1" spans="3:7" x14ac:dyDescent="0.3">
      <c r="C1" s="13"/>
    </row>
    <row r="2" spans="3:7" x14ac:dyDescent="0.3">
      <c r="C2" s="15"/>
    </row>
    <row r="3" spans="3:7" ht="22.8" x14ac:dyDescent="0.4">
      <c r="C3" s="27" t="s">
        <v>32</v>
      </c>
      <c r="D3" s="26"/>
      <c r="E3" s="26"/>
      <c r="F3" s="26"/>
      <c r="G3" s="26"/>
    </row>
    <row r="4" spans="3:7" x14ac:dyDescent="0.3">
      <c r="C4" s="16" t="s">
        <v>33</v>
      </c>
      <c r="D4" s="17">
        <v>2022</v>
      </c>
      <c r="E4" s="17">
        <v>2023</v>
      </c>
      <c r="F4" s="17">
        <v>2024</v>
      </c>
      <c r="G4" s="16" t="s">
        <v>34</v>
      </c>
    </row>
    <row r="5" spans="3:7" x14ac:dyDescent="0.3">
      <c r="C5" s="18" t="s">
        <v>4</v>
      </c>
      <c r="D5" s="19">
        <f>SUMIFS('TATA FINANCE'!$E$2:$E$1051,'TATA FINANCE'!$C$2:$C$1051,D$4)</f>
        <v>1234585</v>
      </c>
      <c r="E5" s="19">
        <f>SUMIFS('TATA FINANCE'!$E$2:$E$1051,'TATA FINANCE'!$C$2:$C$1051,E$4)</f>
        <v>1256786</v>
      </c>
      <c r="F5" s="19">
        <f>SUMIFS('TATA FINANCE'!$E$2:$E$1051,'TATA FINANCE'!$C$2:$C$1051,F$4)</f>
        <v>1224670</v>
      </c>
      <c r="G5" s="19">
        <f t="shared" ref="G5:G10" si="0">SUM(D5:F5)</f>
        <v>3716041</v>
      </c>
    </row>
    <row r="6" spans="3:7" x14ac:dyDescent="0.3">
      <c r="C6" s="20" t="s">
        <v>11</v>
      </c>
      <c r="D6" s="21">
        <f>SUMIFS('TATA FINANCE'!$L$2:$L$1051,'TATA FINANCE'!$C$2:$C$1051,D$4)</f>
        <v>47237449174.479942</v>
      </c>
      <c r="E6" s="21">
        <f>SUMIFS('TATA FINANCE'!$L$2:$L$1051,'TATA FINANCE'!$C$2:$C$1051,E$4)</f>
        <v>47520171722.739967</v>
      </c>
      <c r="F6" s="21">
        <f>SUMIFS('TATA FINANCE'!$L$2:$L$1051,'TATA FINANCE'!$C$2:$C$1051,F$4)</f>
        <v>44838536541.070015</v>
      </c>
      <c r="G6" s="21">
        <f t="shared" si="0"/>
        <v>139596157438.28992</v>
      </c>
    </row>
    <row r="7" spans="3:7" x14ac:dyDescent="0.3">
      <c r="C7" s="18" t="s">
        <v>12</v>
      </c>
      <c r="D7" s="19">
        <f>SUMIFS('TATA FINANCE'!$M$2:$M$1051,'TATA FINANCE'!$C$2:$C$1051,D$4)</f>
        <v>47251355223.15995</v>
      </c>
      <c r="E7" s="19">
        <f>SUMIFS('TATA FINANCE'!$M$2:$M$1051,'TATA FINANCE'!$C$2:$C$1051,E$4)</f>
        <v>47534143120.29998</v>
      </c>
      <c r="F7" s="19">
        <f>SUMIFS('TATA FINANCE'!$M$2:$M$1051,'TATA FINANCE'!$C$2:$C$1051,F$4)</f>
        <v>44852312140.849968</v>
      </c>
      <c r="G7" s="19">
        <f t="shared" si="0"/>
        <v>139637810484.30991</v>
      </c>
    </row>
    <row r="8" spans="3:7" x14ac:dyDescent="0.3">
      <c r="C8" s="20" t="s">
        <v>14</v>
      </c>
      <c r="D8" s="21">
        <f>SUMIFS('TATA FINANCE'!$O$2:$O$1051,'TATA FINANCE'!$C$2:$C$1051,D$4)</f>
        <v>47241327695.009972</v>
      </c>
      <c r="E8" s="21">
        <f>SUMIFS('TATA FINANCE'!$O$2:$O$1051,'TATA FINANCE'!$C$2:$C$1051,E$4)</f>
        <v>47523883773.160004</v>
      </c>
      <c r="F8" s="21">
        <f>SUMIFS('TATA FINANCE'!$O$2:$O$1051,'TATA FINANCE'!$C$2:$C$1051,F$4)</f>
        <v>44842299707.809982</v>
      </c>
      <c r="G8" s="21">
        <f t="shared" si="0"/>
        <v>139607511175.97998</v>
      </c>
    </row>
    <row r="9" spans="3:7" x14ac:dyDescent="0.3">
      <c r="C9" s="18" t="s">
        <v>15</v>
      </c>
      <c r="D9" s="19">
        <f>SUMIFS('TATA FINANCE'!$P$2:$P$1051,'TATA FINANCE'!$C$2:$C$1051,D$4)</f>
        <v>47238422192.270042</v>
      </c>
      <c r="E9" s="19">
        <f>SUMIFS('TATA FINANCE'!$P$2:$P$1051,'TATA FINANCE'!$C$2:$C$1051,E$4)</f>
        <v>47521141291.280006</v>
      </c>
      <c r="F9" s="19">
        <f>SUMIFS('TATA FINANCE'!$P$2:$P$1051,'TATA FINANCE'!$C$2:$C$1051,F$4)</f>
        <v>44839453884.039993</v>
      </c>
      <c r="G9" s="19">
        <f t="shared" si="0"/>
        <v>139599017367.59003</v>
      </c>
    </row>
    <row r="10" spans="3:7" x14ac:dyDescent="0.3">
      <c r="C10" s="20" t="s">
        <v>18</v>
      </c>
      <c r="D10" s="21">
        <f>SUMIFS('TATA FINANCE'!$S$2:$S$1051,'TATA FINANCE'!$C$2:$C$1051,D$4)</f>
        <v>1944401413.6800003</v>
      </c>
      <c r="E10" s="21">
        <f>SUMIFS('TATA FINANCE'!$S$2:$S$1051,'TATA FINANCE'!$C$2:$C$1051,E$4)</f>
        <v>1988405576.7799997</v>
      </c>
      <c r="F10" s="21">
        <f>SUMIFS('TATA FINANCE'!$S$2:$S$1051,'TATA FINANCE'!$C$2:$C$1051,F$4)</f>
        <v>2286084830.9499998</v>
      </c>
      <c r="G10" s="21">
        <f t="shared" si="0"/>
        <v>6218891821.4099998</v>
      </c>
    </row>
    <row r="12" spans="3:7" x14ac:dyDescent="0.3">
      <c r="C12" s="16" t="s">
        <v>35</v>
      </c>
      <c r="D12" s="17">
        <f>D4</f>
        <v>2022</v>
      </c>
      <c r="E12" s="17">
        <f>E4</f>
        <v>2023</v>
      </c>
      <c r="F12" s="17">
        <f>F4</f>
        <v>2024</v>
      </c>
      <c r="G12" s="16" t="s">
        <v>36</v>
      </c>
    </row>
    <row r="13" spans="3:7" x14ac:dyDescent="0.3">
      <c r="C13" s="18" t="s">
        <v>37</v>
      </c>
      <c r="D13" s="22">
        <f>IFERROR(D10/D6,0)</f>
        <v>4.1162286441378468E-2</v>
      </c>
      <c r="E13" s="22">
        <f>IFERROR(E10/E6,0)</f>
        <v>4.184340049066957E-2</v>
      </c>
      <c r="F13" s="22">
        <f>IFERROR(F10/F6,0)</f>
        <v>5.0984822594645846E-2</v>
      </c>
      <c r="G13" s="22">
        <f>IFERROR(G10/G6,0)</f>
        <v>4.454916192201875E-2</v>
      </c>
    </row>
    <row r="14" spans="3:7" x14ac:dyDescent="0.3">
      <c r="C14" s="20" t="s">
        <v>38</v>
      </c>
      <c r="D14" s="23">
        <f>IFERROR(D7/D6,0)</f>
        <v>1.0002943861051565</v>
      </c>
      <c r="E14" s="23">
        <f>IFERROR(E7/E6,0)</f>
        <v>1.0002940098289528</v>
      </c>
      <c r="F14" s="23">
        <f>IFERROR(F7/F6,0)</f>
        <v>1.0003072267929025</v>
      </c>
      <c r="G14" s="23">
        <f>IFERROR(G7/G6,0)</f>
        <v>1.0002983824682883</v>
      </c>
    </row>
    <row r="15" spans="3:7" x14ac:dyDescent="0.3">
      <c r="C15" s="18" t="s">
        <v>39</v>
      </c>
      <c r="D15" s="22">
        <f>IFERROR(D8/D6,0)</f>
        <v>1.000082106900305</v>
      </c>
      <c r="E15" s="22">
        <f>IFERROR(E8/E6,0)</f>
        <v>1.0000781152568576</v>
      </c>
      <c r="F15" s="22">
        <f>IFERROR(F8/F6,0)</f>
        <v>1.0000839270643127</v>
      </c>
      <c r="G15" s="22">
        <f>IFERROR(G8/G6,0)</f>
        <v>1.0000813327379379</v>
      </c>
    </row>
    <row r="16" spans="3:7" x14ac:dyDescent="0.3">
      <c r="C16" s="20" t="s">
        <v>40</v>
      </c>
      <c r="D16" s="23">
        <f>IFERROR(D9/D6,0)</f>
        <v>1.0000205984405828</v>
      </c>
      <c r="E16" s="23">
        <f>IFERROR(E9/E6,0)</f>
        <v>1.0000204033046365</v>
      </c>
      <c r="F16" s="23">
        <f>IFERROR(F9/F6,0)</f>
        <v>1.0000204588071053</v>
      </c>
      <c r="G16" s="23">
        <f>IFERROR(G9/G6,0)</f>
        <v>1.0000204871634908</v>
      </c>
    </row>
    <row r="17" spans="3:7" x14ac:dyDescent="0.3">
      <c r="C17" s="18" t="s">
        <v>41</v>
      </c>
      <c r="D17" s="24" t="s">
        <v>42</v>
      </c>
      <c r="E17" s="22">
        <f>IFERROR(E6/D6-1,0)</f>
        <v>5.9851358022262602E-3</v>
      </c>
      <c r="F17" s="22">
        <f>IFERROR(F6/E6-1,0)</f>
        <v>-5.6431512859763111E-2</v>
      </c>
      <c r="G17" s="24"/>
    </row>
    <row r="18" spans="3:7" x14ac:dyDescent="0.3">
      <c r="C18" s="20" t="s">
        <v>43</v>
      </c>
      <c r="D18" s="25" t="s">
        <v>42</v>
      </c>
      <c r="E18" s="23">
        <f>IFERROR(E5/D5-1,0)</f>
        <v>1.7982560941530945E-2</v>
      </c>
      <c r="F18" s="23">
        <f>IFERROR(F5/E5-1,0)</f>
        <v>-2.5554072053635246E-2</v>
      </c>
      <c r="G18" s="25"/>
    </row>
    <row r="19" spans="3:7" x14ac:dyDescent="0.3">
      <c r="C19" s="18" t="s">
        <v>44</v>
      </c>
      <c r="D19" s="24" t="s">
        <v>42</v>
      </c>
      <c r="E19" s="22">
        <f>IFERROR(E10/D10-1,0)</f>
        <v>2.2631213282609419E-2</v>
      </c>
      <c r="F19" s="22">
        <f>IFERROR(F10/E10-1,0)</f>
        <v>0.14970751321873599</v>
      </c>
      <c r="G19" s="24"/>
    </row>
    <row r="21" spans="3:7" x14ac:dyDescent="0.3">
      <c r="C21" s="12" t="s">
        <v>55</v>
      </c>
    </row>
  </sheetData>
  <mergeCells count="1">
    <mergeCell ref="C3:G3"/>
  </mergeCells>
  <conditionalFormatting sqref="D13:F13">
    <cfRule type="colorScale" priority="2">
      <colorScale>
        <cfvo type="min"/>
        <cfvo type="percentile" val="50"/>
        <cfvo type="max"/>
        <color rgb="FFF8CBAD"/>
        <color rgb="FFFFFFFF"/>
        <color rgb="FFC6E0B4"/>
      </colorScale>
    </cfRule>
  </conditionalFormatting>
  <conditionalFormatting sqref="E17:F1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E18:F18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E19:F19">
    <cfRule type="cellIs" dxfId="1" priority="7" operator="greaterThan">
      <formula>0</formula>
    </cfRule>
    <cfRule type="cellIs" dxfId="0" priority="8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tabSelected="1" zoomScale="86" zoomScaleNormal="100" workbookViewId="0">
      <selection activeCell="D1" sqref="D1"/>
    </sheetView>
  </sheetViews>
  <sheetFormatPr defaultColWidth="8.6640625" defaultRowHeight="15.6" x14ac:dyDescent="0.3"/>
  <cols>
    <col min="1" max="1" width="20" style="14" customWidth="1"/>
    <col min="2" max="4" width="22" style="14" customWidth="1"/>
    <col min="5" max="5" width="23.77734375" style="14" customWidth="1"/>
    <col min="6" max="16384" width="8.6640625" style="14"/>
  </cols>
  <sheetData>
    <row r="1" spans="1:5" x14ac:dyDescent="0.3">
      <c r="A1" s="13" t="s">
        <v>45</v>
      </c>
    </row>
    <row r="2" spans="1:5" x14ac:dyDescent="0.3">
      <c r="A2" s="15"/>
    </row>
    <row r="4" spans="1:5" ht="31.2" x14ac:dyDescent="0.3">
      <c r="A4" s="28" t="s">
        <v>3</v>
      </c>
      <c r="B4" s="29" t="s">
        <v>4</v>
      </c>
      <c r="C4" s="29" t="s">
        <v>11</v>
      </c>
      <c r="D4" s="29" t="s">
        <v>18</v>
      </c>
      <c r="E4" s="30" t="s">
        <v>37</v>
      </c>
    </row>
    <row r="5" spans="1:5" x14ac:dyDescent="0.3">
      <c r="A5" s="31" t="s">
        <v>25</v>
      </c>
      <c r="B5" s="32">
        <f>SUMIFS('TATA FINANCE'!$E$2:$E$1051,'TATA FINANCE'!$D$2:$D$1051,$A5)</f>
        <v>534068</v>
      </c>
      <c r="C5" s="32">
        <f>SUMIFS('TATA FINANCE'!$L$2:$L$1051,'TATA FINANCE'!$D$2:$D$1051,$A5)</f>
        <v>20257881388.339989</v>
      </c>
      <c r="D5" s="32">
        <f>SUMIFS('TATA FINANCE'!$S$2:$S$1051,'TATA FINANCE'!$D$2:$D$1051,$A5)</f>
        <v>896467447.8100003</v>
      </c>
      <c r="E5" s="33">
        <f t="shared" ref="E5:E12" si="0">IFERROR(D5/C5,0)</f>
        <v>4.4252774050004468E-2</v>
      </c>
    </row>
    <row r="6" spans="1:5" x14ac:dyDescent="0.3">
      <c r="A6" s="34" t="s">
        <v>26</v>
      </c>
      <c r="B6" s="35">
        <f>SUMIFS('TATA FINANCE'!$E$2:$E$1051,'TATA FINANCE'!$D$2:$D$1051,$A6)</f>
        <v>497721</v>
      </c>
      <c r="C6" s="35">
        <f>SUMIFS('TATA FINANCE'!$L$2:$L$1051,'TATA FINANCE'!$D$2:$D$1051,$A6)</f>
        <v>18316121650.309998</v>
      </c>
      <c r="D6" s="35">
        <f>SUMIFS('TATA FINANCE'!$S$2:$S$1051,'TATA FINANCE'!$D$2:$D$1051,$A6)</f>
        <v>882545566.27999985</v>
      </c>
      <c r="E6" s="36">
        <f t="shared" si="0"/>
        <v>4.818408520807476E-2</v>
      </c>
    </row>
    <row r="7" spans="1:5" x14ac:dyDescent="0.3">
      <c r="A7" s="31" t="s">
        <v>27</v>
      </c>
      <c r="B7" s="32">
        <f>SUMIFS('TATA FINANCE'!$E$2:$E$1051,'TATA FINANCE'!$D$2:$D$1051,$A7)</f>
        <v>507928</v>
      </c>
      <c r="C7" s="32">
        <f>SUMIFS('TATA FINANCE'!$L$2:$L$1051,'TATA FINANCE'!$D$2:$D$1051,$A7)</f>
        <v>19075346234.27</v>
      </c>
      <c r="D7" s="32">
        <f>SUMIFS('TATA FINANCE'!$S$2:$S$1051,'TATA FINANCE'!$D$2:$D$1051,$A7)</f>
        <v>707673426.7700001</v>
      </c>
      <c r="E7" s="33">
        <f t="shared" si="0"/>
        <v>3.7098850950271219E-2</v>
      </c>
    </row>
    <row r="8" spans="1:5" x14ac:dyDescent="0.3">
      <c r="A8" s="34" t="s">
        <v>28</v>
      </c>
      <c r="B8" s="35">
        <f>SUMIFS('TATA FINANCE'!$E$2:$E$1051,'TATA FINANCE'!$D$2:$D$1051,$A8)</f>
        <v>559649</v>
      </c>
      <c r="C8" s="35">
        <f>SUMIFS('TATA FINANCE'!$L$2:$L$1051,'TATA FINANCE'!$D$2:$D$1051,$A8)</f>
        <v>20910794374.899994</v>
      </c>
      <c r="D8" s="35">
        <f>SUMIFS('TATA FINANCE'!$S$2:$S$1051,'TATA FINANCE'!$D$2:$D$1051,$A8)</f>
        <v>827592164.76999986</v>
      </c>
      <c r="E8" s="36">
        <f t="shared" si="0"/>
        <v>3.9577270472488102E-2</v>
      </c>
    </row>
    <row r="9" spans="1:5" x14ac:dyDescent="0.3">
      <c r="A9" s="31" t="s">
        <v>29</v>
      </c>
      <c r="B9" s="32">
        <f>SUMIFS('TATA FINANCE'!$E$2:$E$1051,'TATA FINANCE'!$D$2:$D$1051,$A9)</f>
        <v>543175</v>
      </c>
      <c r="C9" s="32">
        <f>SUMIFS('TATA FINANCE'!$L$2:$L$1051,'TATA FINANCE'!$D$2:$D$1051,$A9)</f>
        <v>20597508224.220001</v>
      </c>
      <c r="D9" s="32">
        <f>SUMIFS('TATA FINANCE'!$S$2:$S$1051,'TATA FINANCE'!$D$2:$D$1051,$A9)</f>
        <v>858576311.19000006</v>
      </c>
      <c r="E9" s="33">
        <f t="shared" si="0"/>
        <v>4.1683503744420189E-2</v>
      </c>
    </row>
    <row r="10" spans="1:5" x14ac:dyDescent="0.3">
      <c r="A10" s="34" t="s">
        <v>30</v>
      </c>
      <c r="B10" s="35">
        <f>SUMIFS('TATA FINANCE'!$E$2:$E$1051,'TATA FINANCE'!$D$2:$D$1051,$A10)</f>
        <v>543974</v>
      </c>
      <c r="C10" s="35">
        <f>SUMIFS('TATA FINANCE'!$L$2:$L$1051,'TATA FINANCE'!$D$2:$D$1051,$A10)</f>
        <v>20353220418.18</v>
      </c>
      <c r="D10" s="35">
        <f>SUMIFS('TATA FINANCE'!$S$2:$S$1051,'TATA FINANCE'!$D$2:$D$1051,$A10)</f>
        <v>1193184566.0200009</v>
      </c>
      <c r="E10" s="36">
        <f t="shared" si="0"/>
        <v>5.8623870891420155E-2</v>
      </c>
    </row>
    <row r="11" spans="1:5" x14ac:dyDescent="0.3">
      <c r="A11" s="31" t="s">
        <v>31</v>
      </c>
      <c r="B11" s="32">
        <f>SUMIFS('TATA FINANCE'!$E$2:$E$1051,'TATA FINANCE'!$D$2:$D$1051,$A11)</f>
        <v>529526</v>
      </c>
      <c r="C11" s="32">
        <f>SUMIFS('TATA FINANCE'!$L$2:$L$1051,'TATA FINANCE'!$D$2:$D$1051,$A11)</f>
        <v>20085285148.069992</v>
      </c>
      <c r="D11" s="32">
        <f>SUMIFS('TATA FINANCE'!$S$2:$S$1051,'TATA FINANCE'!$D$2:$D$1051,$A11)</f>
        <v>852852338.57000029</v>
      </c>
      <c r="E11" s="33">
        <f t="shared" si="0"/>
        <v>4.2461549949762672E-2</v>
      </c>
    </row>
    <row r="12" spans="1:5" x14ac:dyDescent="0.3">
      <c r="A12" s="37" t="s">
        <v>34</v>
      </c>
      <c r="B12" s="38">
        <f>SUM(B5:B11)</f>
        <v>3716041</v>
      </c>
      <c r="C12" s="38">
        <f>SUM(C5:C11)</f>
        <v>139596157438.28998</v>
      </c>
      <c r="D12" s="38">
        <f>SUM(D5:D11)</f>
        <v>6218891821.4100018</v>
      </c>
      <c r="E12" s="39">
        <f t="shared" si="0"/>
        <v>4.4549161922018743E-2</v>
      </c>
    </row>
    <row r="14" spans="1:5" x14ac:dyDescent="0.3">
      <c r="A14" s="13" t="s">
        <v>46</v>
      </c>
    </row>
    <row r="15" spans="1:5" x14ac:dyDescent="0.3">
      <c r="A15" s="28" t="s">
        <v>3</v>
      </c>
      <c r="B15" s="42" t="s">
        <v>56</v>
      </c>
      <c r="C15" s="42" t="s">
        <v>57</v>
      </c>
      <c r="D15" s="42" t="s">
        <v>58</v>
      </c>
      <c r="E15" s="30" t="s">
        <v>34</v>
      </c>
    </row>
    <row r="16" spans="1:5" x14ac:dyDescent="0.3">
      <c r="A16" s="34" t="s">
        <v>25</v>
      </c>
      <c r="B16" s="35">
        <f>SUMIFS('TATA FINANCE'!$S$2:$S$1051,'TATA FINANCE'!$D$2:$D$1051,$A16,'TATA FINANCE'!$C$2:$C$1051,B$15)</f>
        <v>384820815.05000019</v>
      </c>
      <c r="C16" s="35">
        <f>SUMIFS('TATA FINANCE'!$S$2:$S$1051,'TATA FINANCE'!$D$2:$D$1051,$A16,'TATA FINANCE'!$C$2:$C$1051,C$15)</f>
        <v>297527635.62999994</v>
      </c>
      <c r="D16" s="35">
        <f>SUMIFS('TATA FINANCE'!$S$2:$S$1051,'TATA FINANCE'!$D$2:$D$1051,$A16,'TATA FINANCE'!$C$2:$C$1051,D$15)</f>
        <v>214118997.13</v>
      </c>
      <c r="E16" s="40">
        <f t="shared" ref="E16:E22" si="1">SUM(B16:D16)</f>
        <v>896467447.81000006</v>
      </c>
    </row>
    <row r="17" spans="1:5" x14ac:dyDescent="0.3">
      <c r="A17" s="31" t="s">
        <v>26</v>
      </c>
      <c r="B17" s="32">
        <f>SUMIFS('TATA FINANCE'!$S$2:$S$1051,'TATA FINANCE'!$D$2:$D$1051,$A17,'TATA FINANCE'!$C$2:$C$1051,B$15)</f>
        <v>385078454.39999992</v>
      </c>
      <c r="C17" s="32">
        <f>SUMIFS('TATA FINANCE'!$S$2:$S$1051,'TATA FINANCE'!$D$2:$D$1051,$A17,'TATA FINANCE'!$C$2:$C$1051,C$15)</f>
        <v>188573660.90000007</v>
      </c>
      <c r="D17" s="32">
        <f>SUMIFS('TATA FINANCE'!$S$2:$S$1051,'TATA FINANCE'!$D$2:$D$1051,$A17,'TATA FINANCE'!$C$2:$C$1051,D$15)</f>
        <v>308893450.97999996</v>
      </c>
      <c r="E17" s="41">
        <f t="shared" si="1"/>
        <v>882545566.27999997</v>
      </c>
    </row>
    <row r="18" spans="1:5" x14ac:dyDescent="0.3">
      <c r="A18" s="34" t="s">
        <v>27</v>
      </c>
      <c r="B18" s="35">
        <f>SUMIFS('TATA FINANCE'!$S$2:$S$1051,'TATA FINANCE'!$D$2:$D$1051,$A18,'TATA FINANCE'!$C$2:$C$1051,B$15)</f>
        <v>204650151.75000003</v>
      </c>
      <c r="C18" s="35">
        <f>SUMIFS('TATA FINANCE'!$S$2:$S$1051,'TATA FINANCE'!$D$2:$D$1051,$A18,'TATA FINANCE'!$C$2:$C$1051,C$15)</f>
        <v>82969693.900000006</v>
      </c>
      <c r="D18" s="35">
        <f>SUMIFS('TATA FINANCE'!$S$2:$S$1051,'TATA FINANCE'!$D$2:$D$1051,$A18,'TATA FINANCE'!$C$2:$C$1051,D$15)</f>
        <v>420053581.12000006</v>
      </c>
      <c r="E18" s="40">
        <f t="shared" si="1"/>
        <v>707673426.7700001</v>
      </c>
    </row>
    <row r="19" spans="1:5" x14ac:dyDescent="0.3">
      <c r="A19" s="31" t="s">
        <v>28</v>
      </c>
      <c r="B19" s="32">
        <f>SUMIFS('TATA FINANCE'!$S$2:$S$1051,'TATA FINANCE'!$D$2:$D$1051,$A19,'TATA FINANCE'!$C$2:$C$1051,B$15)</f>
        <v>234064562.36000001</v>
      </c>
      <c r="C19" s="32">
        <f>SUMIFS('TATA FINANCE'!$S$2:$S$1051,'TATA FINANCE'!$D$2:$D$1051,$A19,'TATA FINANCE'!$C$2:$C$1051,C$15)</f>
        <v>285931198.96999997</v>
      </c>
      <c r="D19" s="32">
        <f>SUMIFS('TATA FINANCE'!$S$2:$S$1051,'TATA FINANCE'!$D$2:$D$1051,$A19,'TATA FINANCE'!$C$2:$C$1051,D$15)</f>
        <v>307596403.44000006</v>
      </c>
      <c r="E19" s="41">
        <f t="shared" si="1"/>
        <v>827592164.76999998</v>
      </c>
    </row>
    <row r="20" spans="1:5" x14ac:dyDescent="0.3">
      <c r="A20" s="34" t="s">
        <v>29</v>
      </c>
      <c r="B20" s="35">
        <f>SUMIFS('TATA FINANCE'!$S$2:$S$1051,'TATA FINANCE'!$D$2:$D$1051,$A20,'TATA FINANCE'!$C$2:$C$1051,B$15)</f>
        <v>124351893.01000009</v>
      </c>
      <c r="C20" s="35">
        <f>SUMIFS('TATA FINANCE'!$S$2:$S$1051,'TATA FINANCE'!$D$2:$D$1051,$A20,'TATA FINANCE'!$C$2:$C$1051,C$15)</f>
        <v>385973883.58000016</v>
      </c>
      <c r="D20" s="35">
        <f>SUMIFS('TATA FINANCE'!$S$2:$S$1051,'TATA FINANCE'!$D$2:$D$1051,$A20,'TATA FINANCE'!$C$2:$C$1051,D$15)</f>
        <v>348250534.60000002</v>
      </c>
      <c r="E20" s="40">
        <f t="shared" si="1"/>
        <v>858576311.1900003</v>
      </c>
    </row>
    <row r="21" spans="1:5" x14ac:dyDescent="0.3">
      <c r="A21" s="31" t="s">
        <v>30</v>
      </c>
      <c r="B21" s="32">
        <f>SUMIFS('TATA FINANCE'!$S$2:$S$1051,'TATA FINANCE'!$D$2:$D$1051,$A21,'TATA FINANCE'!$C$2:$C$1051,B$15)</f>
        <v>340204631.69999999</v>
      </c>
      <c r="C21" s="32">
        <f>SUMIFS('TATA FINANCE'!$S$2:$S$1051,'TATA FINANCE'!$D$2:$D$1051,$A21,'TATA FINANCE'!$C$2:$C$1051,C$15)</f>
        <v>490262014.16999996</v>
      </c>
      <c r="D21" s="32">
        <f>SUMIFS('TATA FINANCE'!$S$2:$S$1051,'TATA FINANCE'!$D$2:$D$1051,$A21,'TATA FINANCE'!$C$2:$C$1051,D$15)</f>
        <v>362717920.14999998</v>
      </c>
      <c r="E21" s="41">
        <f t="shared" si="1"/>
        <v>1193184566.02</v>
      </c>
    </row>
    <row r="22" spans="1:5" x14ac:dyDescent="0.3">
      <c r="A22" s="34" t="s">
        <v>31</v>
      </c>
      <c r="B22" s="35">
        <f>SUMIFS('TATA FINANCE'!$S$2:$S$1051,'TATA FINANCE'!$D$2:$D$1051,$A22,'TATA FINANCE'!$C$2:$C$1051,B$15)</f>
        <v>271230905.41000003</v>
      </c>
      <c r="C22" s="35">
        <f>SUMIFS('TATA FINANCE'!$S$2:$S$1051,'TATA FINANCE'!$D$2:$D$1051,$A22,'TATA FINANCE'!$C$2:$C$1051,C$15)</f>
        <v>257167489.63000005</v>
      </c>
      <c r="D22" s="35">
        <f>SUMIFS('TATA FINANCE'!$S$2:$S$1051,'TATA FINANCE'!$D$2:$D$1051,$A22,'TATA FINANCE'!$C$2:$C$1051,D$15)</f>
        <v>324453943.52999991</v>
      </c>
      <c r="E22" s="40">
        <f t="shared" si="1"/>
        <v>852852338.56999993</v>
      </c>
    </row>
    <row r="23" spans="1:5" x14ac:dyDescent="0.3">
      <c r="A23" s="37" t="s">
        <v>34</v>
      </c>
      <c r="B23" s="38">
        <f>SUM(B16:B22)</f>
        <v>1944401413.6800001</v>
      </c>
      <c r="C23" s="38">
        <f>SUM(C16:C22)</f>
        <v>1988405576.7800002</v>
      </c>
      <c r="D23" s="38">
        <f>SUM(D16:D22)</f>
        <v>2286084830.9499998</v>
      </c>
      <c r="E23" s="43">
        <f>SUM(E16:E22)</f>
        <v>6218891821.4099998</v>
      </c>
    </row>
  </sheetData>
  <conditionalFormatting sqref="E5:E11">
    <cfRule type="colorScale" priority="2">
      <colorScale>
        <cfvo type="min"/>
        <cfvo type="percentile" val="50"/>
        <cfvo type="max"/>
        <color rgb="FFF8CBAD"/>
        <color rgb="FFFFFFFF"/>
        <color rgb="FFC6E0B4"/>
      </colorScale>
    </cfRule>
  </conditionalFormatting>
  <conditionalFormatting sqref="D5:D11">
    <cfRule type="colorScale" priority="3">
      <colorScale>
        <cfvo type="min"/>
        <cfvo type="percentile" val="50"/>
        <cfvo type="max"/>
        <color rgb="FFF8CBAD"/>
        <color rgb="FFFFFFFF"/>
        <color rgb="FFC6E0B4"/>
      </colorScale>
    </cfRule>
  </conditionalFormatting>
  <conditionalFormatting sqref="B16:D22">
    <cfRule type="colorScale" priority="4">
      <colorScale>
        <cfvo type="min"/>
        <cfvo type="percentile" val="50"/>
        <cfvo type="max"/>
        <color rgb="FFF8CBAD"/>
        <color rgb="FFFFFFFF"/>
        <color rgb="FFC6E0B4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"/>
  <sheetViews>
    <sheetView showGridLines="0" zoomScaleNormal="100" workbookViewId="0">
      <selection activeCell="C12" sqref="C12"/>
    </sheetView>
  </sheetViews>
  <sheetFormatPr defaultColWidth="8.6640625" defaultRowHeight="15.6" x14ac:dyDescent="0.3"/>
  <cols>
    <col min="1" max="1" width="8.6640625" style="14"/>
    <col min="2" max="2" width="24" style="14" customWidth="1"/>
    <col min="3" max="8" width="20" style="14" customWidth="1"/>
    <col min="9" max="16384" width="8.6640625" style="14"/>
  </cols>
  <sheetData>
    <row r="1" spans="2:9" x14ac:dyDescent="0.3">
      <c r="B1" s="13" t="s">
        <v>47</v>
      </c>
    </row>
    <row r="2" spans="2:9" x14ac:dyDescent="0.3">
      <c r="B2" s="15"/>
    </row>
    <row r="4" spans="2:9" x14ac:dyDescent="0.3">
      <c r="B4" s="44" t="s">
        <v>48</v>
      </c>
      <c r="C4" s="44" t="s">
        <v>49</v>
      </c>
      <c r="D4" s="44" t="s">
        <v>50</v>
      </c>
      <c r="E4" s="44" t="s">
        <v>51</v>
      </c>
      <c r="F4" s="44" t="s">
        <v>52</v>
      </c>
      <c r="G4" s="44" t="s">
        <v>53</v>
      </c>
      <c r="H4" s="44" t="s">
        <v>54</v>
      </c>
      <c r="I4" s="45"/>
    </row>
    <row r="5" spans="2:9" x14ac:dyDescent="0.3">
      <c r="B5" s="46" t="s">
        <v>4</v>
      </c>
      <c r="C5" s="47">
        <f>COUNT('TATA FINANCE'!$E$2:$E$1051)</f>
        <v>1050</v>
      </c>
      <c r="D5" s="47">
        <f>AVERAGE('TATA FINANCE'!$E$2:$E$1051)</f>
        <v>3539.0866666666666</v>
      </c>
      <c r="E5" s="47">
        <f>MEDIAN('TATA FINANCE'!$E$2:$E$1051)</f>
        <v>3557</v>
      </c>
      <c r="F5" s="47">
        <f>MIN('TATA FINANCE'!$E$2:$E$1051)</f>
        <v>104</v>
      </c>
      <c r="G5" s="47">
        <f>MAX('TATA FINANCE'!$E$2:$E$1051)</f>
        <v>6956</v>
      </c>
      <c r="H5" s="47">
        <f>STDEV('TATA FINANCE'!$E$2:$E$1051)</f>
        <v>2023.8706319111466</v>
      </c>
      <c r="I5" s="45"/>
    </row>
    <row r="6" spans="2:9" x14ac:dyDescent="0.3">
      <c r="B6" s="48" t="s">
        <v>11</v>
      </c>
      <c r="C6" s="49">
        <f>COUNT('TATA FINANCE'!$L$2:$L$1051)</f>
        <v>1050</v>
      </c>
      <c r="D6" s="49">
        <f>AVERAGE('TATA FINANCE'!$L$2:$L$1051)</f>
        <v>132948721.3697999</v>
      </c>
      <c r="E6" s="49">
        <f>MEDIAN('TATA FINANCE'!$L$2:$L$1051)</f>
        <v>107374575.05</v>
      </c>
      <c r="F6" s="49">
        <f>MIN('TATA FINANCE'!$L$2:$L$1051)</f>
        <v>976624.25</v>
      </c>
      <c r="G6" s="49">
        <f>MAX('TATA FINANCE'!$L$2:$L$1051)</f>
        <v>472612971.30000001</v>
      </c>
      <c r="H6" s="49">
        <f>STDEV('TATA FINANCE'!$L$2:$L$1051)</f>
        <v>106648091.2699185</v>
      </c>
      <c r="I6" s="45"/>
    </row>
    <row r="7" spans="2:9" x14ac:dyDescent="0.3">
      <c r="B7" s="46" t="s">
        <v>18</v>
      </c>
      <c r="C7" s="47">
        <f>COUNT('TATA FINANCE'!$S$2:$S$1051)</f>
        <v>1050</v>
      </c>
      <c r="D7" s="47">
        <f>AVERAGE('TATA FINANCE'!$S$2:$S$1051)</f>
        <v>5922754.1156285712</v>
      </c>
      <c r="E7" s="47">
        <f>MEDIAN('TATA FINANCE'!$S$2:$S$1051)</f>
        <v>2753343.5250000004</v>
      </c>
      <c r="F7" s="47">
        <f>MIN('TATA FINANCE'!$S$2:$S$1051)</f>
        <v>-54935398.600000001</v>
      </c>
      <c r="G7" s="47">
        <f>MAX('TATA FINANCE'!$S$2:$S$1051)</f>
        <v>87270175.629999995</v>
      </c>
      <c r="H7" s="47">
        <f>STDEV('TATA FINANCE'!$S$2:$S$1051)</f>
        <v>14412934.129820414</v>
      </c>
      <c r="I7" s="45"/>
    </row>
    <row r="8" spans="2:9" x14ac:dyDescent="0.3">
      <c r="B8" s="48" t="s">
        <v>7</v>
      </c>
      <c r="C8" s="49">
        <f>COUNT('TATA FINANCE'!$H$2:$H$1051)</f>
        <v>1050</v>
      </c>
      <c r="D8" s="50">
        <f>AVERAGE('TATA FINANCE'!$H$2:$H$1051)</f>
        <v>17.239819047619065</v>
      </c>
      <c r="E8" s="50">
        <f>MEDIAN('TATA FINANCE'!$H$2:$H$1051)</f>
        <v>17.02</v>
      </c>
      <c r="F8" s="50">
        <f>MIN('TATA FINANCE'!$H$2:$H$1051)</f>
        <v>5.01</v>
      </c>
      <c r="G8" s="50">
        <f>MAX('TATA FINANCE'!$H$2:$H$1051)</f>
        <v>29.94</v>
      </c>
      <c r="H8" s="50">
        <f>STDEV('TATA FINANCE'!$H$2:$H$1051)</f>
        <v>7.2490784967516415</v>
      </c>
      <c r="I8" s="45"/>
    </row>
    <row r="10" spans="2:9" x14ac:dyDescent="0.3">
      <c r="B10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TATA FINANCE</vt:lpstr>
      <vt:lpstr>Year_Summary</vt:lpstr>
      <vt:lpstr>Country_Summary</vt:lpstr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Naveen Kumar</cp:lastModifiedBy>
  <cp:revision>0</cp:revision>
  <dcterms:created xsi:type="dcterms:W3CDTF">2026-10-26T03:56:00Z</dcterms:created>
  <dcterms:modified xsi:type="dcterms:W3CDTF">2026-10-27T00:15:33Z</dcterms:modified>
  <dc:language>en-US</dc:language>
</cp:coreProperties>
</file>